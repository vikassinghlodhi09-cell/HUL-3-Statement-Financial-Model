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Fp&amp;A\model\"/>
    </mc:Choice>
  </mc:AlternateContent>
  <xr:revisionPtr revIDLastSave="0" documentId="13_ncr:1_{25A494F6-F810-40AF-BA08-303208C2D8E6}" xr6:coauthVersionLast="47" xr6:coauthVersionMax="47" xr10:uidLastSave="{00000000-0000-0000-0000-000000000000}"/>
  <bookViews>
    <workbookView xWindow="-120" yWindow="-120" windowWidth="20730" windowHeight="11160" tabRatio="647" firstSheet="1" activeTab="1" xr2:uid="{00000000-000D-0000-FFFF-FFFF00000000}"/>
  </bookViews>
  <sheets>
    <sheet name="Dashboard" sheetId="7" r:id="rId1"/>
    <sheet name="Income Statement" sheetId="1" r:id="rId2"/>
    <sheet name="Balance Sheet" sheetId="2" r:id="rId3"/>
    <sheet name="Cash Flow Statement" sheetId="3" r:id="rId4"/>
    <sheet name="Assumption" sheetId="4" r:id="rId5"/>
    <sheet name="FY 26-27E Projected" sheetId="5" r:id="rId6"/>
    <sheet name="Ratios" sheetId="6" r:id="rId7"/>
    <sheet name="DAS DATA" sheetId="9" r:id="rId8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3" i="5" l="1"/>
  <c r="H24" i="5" s="1"/>
  <c r="G15" i="6" s="1"/>
  <c r="B19" i="9" s="1"/>
  <c r="B16" i="4"/>
  <c r="C13" i="5"/>
  <c r="G13" i="5"/>
  <c r="H13" i="5"/>
  <c r="C21" i="5"/>
  <c r="C23" i="5"/>
  <c r="D23" i="5"/>
  <c r="E23" i="5"/>
  <c r="F23" i="5"/>
  <c r="I18" i="9"/>
  <c r="I17" i="9"/>
  <c r="I16" i="9"/>
  <c r="I15" i="9"/>
  <c r="G6" i="4"/>
  <c r="I6" i="5"/>
  <c r="J6" i="5" s="1"/>
  <c r="J8" i="5" s="1"/>
  <c r="H6" i="4"/>
  <c r="I6" i="4"/>
  <c r="J6" i="4"/>
  <c r="E20" i="9"/>
  <c r="E19" i="9"/>
  <c r="E18" i="9"/>
  <c r="E17" i="9"/>
  <c r="E16" i="9"/>
  <c r="E15" i="9"/>
  <c r="H6" i="5"/>
  <c r="B6" i="4"/>
  <c r="C6" i="4"/>
  <c r="D6" i="4"/>
  <c r="E6" i="4"/>
  <c r="F6" i="4"/>
  <c r="B7" i="4"/>
  <c r="C7" i="4"/>
  <c r="D7" i="4"/>
  <c r="E7" i="4"/>
  <c r="F7" i="4"/>
  <c r="J7" i="4"/>
  <c r="H50" i="2"/>
  <c r="I50" i="2"/>
  <c r="J50" i="2"/>
  <c r="K50" i="2"/>
  <c r="B8" i="4"/>
  <c r="C8" i="4"/>
  <c r="D8" i="4"/>
  <c r="E8" i="4"/>
  <c r="F8" i="4"/>
  <c r="J8" i="4"/>
  <c r="B9" i="4"/>
  <c r="C9" i="4"/>
  <c r="D9" i="4"/>
  <c r="E9" i="4"/>
  <c r="F9" i="4"/>
  <c r="J9" i="4"/>
  <c r="G7" i="4"/>
  <c r="G8" i="4"/>
  <c r="G9" i="4"/>
  <c r="H7" i="4"/>
  <c r="H8" i="4"/>
  <c r="H9" i="4"/>
  <c r="I7" i="4"/>
  <c r="I8" i="4"/>
  <c r="I9" i="4"/>
  <c r="H36" i="2"/>
  <c r="I36" i="2"/>
  <c r="J36" i="2"/>
  <c r="K36" i="2"/>
  <c r="B14" i="4"/>
  <c r="C14" i="4"/>
  <c r="D14" i="4"/>
  <c r="E14" i="4"/>
  <c r="F14" i="4"/>
  <c r="J14" i="4"/>
  <c r="I14" i="4"/>
  <c r="E15" i="4"/>
  <c r="F15" i="4"/>
  <c r="J15" i="4"/>
  <c r="I15" i="4"/>
  <c r="B19" i="4"/>
  <c r="C19" i="4"/>
  <c r="D19" i="4"/>
  <c r="E19" i="4"/>
  <c r="F19" i="4"/>
  <c r="J19" i="4"/>
  <c r="D8" i="1"/>
  <c r="D17" i="1"/>
  <c r="D18" i="1"/>
  <c r="D20" i="1"/>
  <c r="D24" i="1"/>
  <c r="B20" i="4"/>
  <c r="E8" i="1"/>
  <c r="E17" i="1"/>
  <c r="E18" i="1"/>
  <c r="E20" i="1"/>
  <c r="E24" i="1"/>
  <c r="C20" i="4"/>
  <c r="F8" i="1"/>
  <c r="F17" i="1"/>
  <c r="F18" i="1"/>
  <c r="F20" i="1"/>
  <c r="F24" i="1"/>
  <c r="D20" i="4"/>
  <c r="H8" i="1"/>
  <c r="H17" i="1"/>
  <c r="H18" i="1"/>
  <c r="H20" i="1"/>
  <c r="H24" i="1"/>
  <c r="F20" i="4"/>
  <c r="J20" i="4"/>
  <c r="G14" i="4"/>
  <c r="G15" i="4"/>
  <c r="G19" i="4"/>
  <c r="G20" i="4"/>
  <c r="H73" i="3"/>
  <c r="H14" i="4"/>
  <c r="H15" i="4"/>
  <c r="H19" i="4"/>
  <c r="H20" i="4"/>
  <c r="I19" i="4"/>
  <c r="I20" i="4"/>
  <c r="H23" i="2"/>
  <c r="I23" i="2"/>
  <c r="J23" i="2"/>
  <c r="K23" i="2"/>
  <c r="H20" i="5"/>
  <c r="H15" i="5"/>
  <c r="G13" i="6"/>
  <c r="G8" i="1"/>
  <c r="G17" i="1"/>
  <c r="G18" i="1"/>
  <c r="G20" i="5"/>
  <c r="G15" i="5"/>
  <c r="F13" i="6"/>
  <c r="E13" i="6"/>
  <c r="D13" i="6"/>
  <c r="C13" i="6"/>
  <c r="C8" i="1"/>
  <c r="C17" i="1"/>
  <c r="C18" i="1"/>
  <c r="C20" i="5"/>
  <c r="C15" i="5"/>
  <c r="B13" i="6"/>
  <c r="C16" i="5"/>
  <c r="C25" i="5"/>
  <c r="C6" i="5"/>
  <c r="B14" i="6"/>
  <c r="G58" i="2"/>
  <c r="G47" i="2"/>
  <c r="G38" i="2"/>
  <c r="G12" i="6"/>
  <c r="F58" i="2"/>
  <c r="F47" i="2"/>
  <c r="F38" i="2"/>
  <c r="F12" i="6"/>
  <c r="E58" i="2"/>
  <c r="E47" i="2"/>
  <c r="E38" i="2"/>
  <c r="E12" i="6"/>
  <c r="D58" i="2"/>
  <c r="D47" i="2"/>
  <c r="D38" i="2"/>
  <c r="D12" i="6"/>
  <c r="C58" i="2"/>
  <c r="C47" i="2"/>
  <c r="C38" i="2"/>
  <c r="C12" i="6"/>
  <c r="B58" i="2"/>
  <c r="B47" i="2"/>
  <c r="B38" i="2"/>
  <c r="B12" i="6"/>
  <c r="H21" i="5"/>
  <c r="H22" i="5"/>
  <c r="G32" i="2"/>
  <c r="G19" i="2"/>
  <c r="G33" i="2"/>
  <c r="G21" i="5"/>
  <c r="G22" i="5"/>
  <c r="G23" i="5"/>
  <c r="G24" i="5"/>
  <c r="F32" i="2"/>
  <c r="F19" i="2"/>
  <c r="F33" i="2"/>
  <c r="F15" i="6"/>
  <c r="F22" i="5"/>
  <c r="F24" i="5"/>
  <c r="E32" i="2"/>
  <c r="E19" i="2"/>
  <c r="E33" i="2"/>
  <c r="E15" i="6"/>
  <c r="E22" i="5"/>
  <c r="E24" i="5"/>
  <c r="D32" i="2"/>
  <c r="D19" i="2"/>
  <c r="D33" i="2"/>
  <c r="D15" i="6"/>
  <c r="D22" i="5"/>
  <c r="D24" i="5"/>
  <c r="C32" i="2"/>
  <c r="C19" i="2"/>
  <c r="C33" i="2"/>
  <c r="C15" i="6"/>
  <c r="C22" i="5"/>
  <c r="C24" i="5"/>
  <c r="B32" i="2"/>
  <c r="B19" i="2"/>
  <c r="B33" i="2"/>
  <c r="B15" i="6"/>
  <c r="H42" i="2"/>
  <c r="I42" i="2"/>
  <c r="J42" i="2"/>
  <c r="K42" i="2"/>
  <c r="H43" i="2"/>
  <c r="I43" i="2"/>
  <c r="J43" i="2"/>
  <c r="K43" i="2"/>
  <c r="H44" i="2"/>
  <c r="I44" i="2"/>
  <c r="J44" i="2"/>
  <c r="K44" i="2"/>
  <c r="H45" i="2"/>
  <c r="I45" i="2"/>
  <c r="J45" i="2"/>
  <c r="K45" i="2"/>
  <c r="H46" i="2"/>
  <c r="I46" i="2"/>
  <c r="J46" i="2"/>
  <c r="K46" i="2"/>
  <c r="K47" i="2"/>
  <c r="J47" i="2"/>
  <c r="I47" i="2"/>
  <c r="H47" i="2"/>
  <c r="G5" i="6"/>
  <c r="D7" i="9"/>
  <c r="B22" i="9"/>
  <c r="H16" i="5"/>
  <c r="H25" i="5"/>
  <c r="G14" i="6"/>
  <c r="C7" i="9"/>
  <c r="B21" i="9"/>
  <c r="G6" i="6"/>
  <c r="B20" i="9"/>
  <c r="G8" i="6"/>
  <c r="B18" i="9"/>
  <c r="G10" i="6"/>
  <c r="B16" i="9"/>
  <c r="G9" i="6"/>
  <c r="B15" i="9"/>
  <c r="M7" i="9"/>
  <c r="M6" i="9"/>
  <c r="M5" i="9"/>
  <c r="M4" i="9"/>
  <c r="M3" i="9"/>
  <c r="M2" i="9"/>
  <c r="G71" i="3"/>
  <c r="J7" i="9"/>
  <c r="F71" i="3"/>
  <c r="J6" i="9"/>
  <c r="E71" i="3"/>
  <c r="J5" i="9"/>
  <c r="D71" i="3"/>
  <c r="J4" i="9"/>
  <c r="C71" i="3"/>
  <c r="J3" i="9"/>
  <c r="B71" i="3"/>
  <c r="J2" i="9"/>
  <c r="G64" i="3"/>
  <c r="I7" i="9"/>
  <c r="F64" i="3"/>
  <c r="I6" i="9"/>
  <c r="E64" i="3"/>
  <c r="I5" i="9"/>
  <c r="D64" i="3"/>
  <c r="I4" i="9"/>
  <c r="B64" i="3"/>
  <c r="I2" i="9"/>
  <c r="C64" i="3"/>
  <c r="I3" i="9"/>
  <c r="G28" i="3"/>
  <c r="G35" i="3"/>
  <c r="G37" i="3"/>
  <c r="H7" i="9"/>
  <c r="F28" i="3"/>
  <c r="F35" i="3"/>
  <c r="F37" i="3"/>
  <c r="H6" i="9"/>
  <c r="D28" i="3"/>
  <c r="D35" i="3"/>
  <c r="D37" i="3"/>
  <c r="H4" i="9"/>
  <c r="E28" i="3"/>
  <c r="E35" i="3"/>
  <c r="E37" i="3"/>
  <c r="H5" i="9"/>
  <c r="C28" i="3"/>
  <c r="C35" i="3"/>
  <c r="C37" i="3"/>
  <c r="H3" i="9"/>
  <c r="B28" i="3"/>
  <c r="B35" i="3"/>
  <c r="B37" i="3"/>
  <c r="H2" i="9"/>
  <c r="H6" i="6"/>
  <c r="G20" i="1"/>
  <c r="G24" i="1"/>
  <c r="F5" i="6"/>
  <c r="D6" i="9"/>
  <c r="E5" i="6"/>
  <c r="D5" i="9"/>
  <c r="D5" i="6"/>
  <c r="D4" i="9"/>
  <c r="C5" i="6"/>
  <c r="D3" i="9"/>
  <c r="C20" i="1"/>
  <c r="C24" i="1"/>
  <c r="B5" i="6"/>
  <c r="D2" i="9"/>
  <c r="G16" i="5"/>
  <c r="G25" i="5"/>
  <c r="G6" i="5"/>
  <c r="F14" i="6"/>
  <c r="C6" i="9"/>
  <c r="F25" i="5"/>
  <c r="E14" i="6"/>
  <c r="C5" i="9"/>
  <c r="E25" i="5"/>
  <c r="D14" i="6"/>
  <c r="C4" i="9"/>
  <c r="D25" i="5"/>
  <c r="C14" i="6"/>
  <c r="C3" i="9"/>
  <c r="C2" i="9"/>
  <c r="K6" i="6"/>
  <c r="B11" i="9" s="1"/>
  <c r="J6" i="6"/>
  <c r="B10" i="9"/>
  <c r="I6" i="6"/>
  <c r="B9" i="9"/>
  <c r="B8" i="9"/>
  <c r="B7" i="9"/>
  <c r="F6" i="6"/>
  <c r="B6" i="9"/>
  <c r="E6" i="6"/>
  <c r="B5" i="9"/>
  <c r="D6" i="6"/>
  <c r="B4" i="9"/>
  <c r="C6" i="6"/>
  <c r="B3" i="9"/>
  <c r="B6" i="6"/>
  <c r="B2" i="9"/>
  <c r="H11" i="5"/>
  <c r="H12" i="5"/>
  <c r="H26" i="5"/>
  <c r="G11" i="5"/>
  <c r="G12" i="5"/>
  <c r="G26" i="5"/>
  <c r="F26" i="5"/>
  <c r="E26" i="5"/>
  <c r="D26" i="5"/>
  <c r="C11" i="5"/>
  <c r="C12" i="5"/>
  <c r="C26" i="5"/>
  <c r="J26" i="4"/>
  <c r="D26" i="4"/>
  <c r="F16" i="4"/>
  <c r="G11" i="6"/>
  <c r="E16" i="4"/>
  <c r="F11" i="6"/>
  <c r="D15" i="4"/>
  <c r="D16" i="4"/>
  <c r="E11" i="6"/>
  <c r="C15" i="4"/>
  <c r="C16" i="4"/>
  <c r="D11" i="6"/>
  <c r="B15" i="4"/>
  <c r="C11" i="6"/>
  <c r="F10" i="6"/>
  <c r="E10" i="6"/>
  <c r="D10" i="6"/>
  <c r="C10" i="6"/>
  <c r="B10" i="6"/>
  <c r="F9" i="6"/>
  <c r="E9" i="6"/>
  <c r="D9" i="6"/>
  <c r="C9" i="6"/>
  <c r="B9" i="6"/>
  <c r="F8" i="6"/>
  <c r="E8" i="6"/>
  <c r="D8" i="6"/>
  <c r="C8" i="6"/>
  <c r="B8" i="6"/>
  <c r="G7" i="6"/>
  <c r="F7" i="6"/>
  <c r="E7" i="6"/>
  <c r="D7" i="6"/>
  <c r="C7" i="6"/>
  <c r="B7" i="6"/>
  <c r="H14" i="5"/>
  <c r="H17" i="5"/>
  <c r="H18" i="5"/>
  <c r="G14" i="5"/>
  <c r="G17" i="5"/>
  <c r="G18" i="5"/>
  <c r="F18" i="5"/>
  <c r="E18" i="5"/>
  <c r="D18" i="5"/>
  <c r="C18" i="5"/>
  <c r="C17" i="5"/>
  <c r="C14" i="5"/>
  <c r="H7" i="5"/>
  <c r="H8" i="5"/>
  <c r="G7" i="5"/>
  <c r="G8" i="5"/>
  <c r="F8" i="5"/>
  <c r="E8" i="5"/>
  <c r="D8" i="5"/>
  <c r="C7" i="5"/>
  <c r="C8" i="5"/>
  <c r="E20" i="4"/>
  <c r="B11" i="4"/>
  <c r="C11" i="4"/>
  <c r="D11" i="4"/>
  <c r="E11" i="4"/>
  <c r="F11" i="4"/>
  <c r="J11" i="4"/>
  <c r="I11" i="4"/>
  <c r="H11" i="4"/>
  <c r="G11" i="4"/>
  <c r="F10" i="4"/>
  <c r="E10" i="4"/>
  <c r="D10" i="4"/>
  <c r="C10" i="4"/>
  <c r="B10" i="4"/>
  <c r="G72" i="3"/>
  <c r="G75" i="3"/>
  <c r="F72" i="3"/>
  <c r="F75" i="3"/>
  <c r="E72" i="3"/>
  <c r="E75" i="3"/>
  <c r="D72" i="3"/>
  <c r="D75" i="3"/>
  <c r="C72" i="3"/>
  <c r="C75" i="3"/>
  <c r="B72" i="3"/>
  <c r="B75" i="3"/>
  <c r="G59" i="2"/>
  <c r="G61" i="2"/>
  <c r="F59" i="2"/>
  <c r="F61" i="2"/>
  <c r="E59" i="2"/>
  <c r="E61" i="2"/>
  <c r="D59" i="2"/>
  <c r="D61" i="2"/>
  <c r="C59" i="2"/>
  <c r="C61" i="2"/>
  <c r="B59" i="2"/>
  <c r="B61" i="2"/>
  <c r="H57" i="2"/>
  <c r="I57" i="2"/>
  <c r="J57" i="2"/>
  <c r="K57" i="2"/>
  <c r="H56" i="2"/>
  <c r="I56" i="2"/>
  <c r="J56" i="2"/>
  <c r="K56" i="2"/>
  <c r="H55" i="2"/>
  <c r="I55" i="2"/>
  <c r="J55" i="2"/>
  <c r="K55" i="2"/>
  <c r="H54" i="2"/>
  <c r="I54" i="2"/>
  <c r="J54" i="2"/>
  <c r="K54" i="2"/>
  <c r="H31" i="2"/>
  <c r="I31" i="2"/>
  <c r="J31" i="2"/>
  <c r="K31" i="2"/>
  <c r="H30" i="2"/>
  <c r="I30" i="2"/>
  <c r="J30" i="2"/>
  <c r="K30" i="2"/>
  <c r="H29" i="2"/>
  <c r="I29" i="2"/>
  <c r="J29" i="2"/>
  <c r="K29" i="2"/>
  <c r="H28" i="2"/>
  <c r="I28" i="2"/>
  <c r="J28" i="2"/>
  <c r="K28" i="2"/>
  <c r="H27" i="2"/>
  <c r="I27" i="2"/>
  <c r="J27" i="2"/>
  <c r="K27" i="2"/>
  <c r="H26" i="2"/>
  <c r="I26" i="2"/>
  <c r="J26" i="2"/>
  <c r="K26" i="2"/>
  <c r="H18" i="2"/>
  <c r="I18" i="2"/>
  <c r="J18" i="2"/>
  <c r="K18" i="2"/>
  <c r="H17" i="2"/>
  <c r="I17" i="2"/>
  <c r="J17" i="2"/>
  <c r="K17" i="2"/>
  <c r="H16" i="2"/>
  <c r="I16" i="2"/>
  <c r="J16" i="2"/>
  <c r="K16" i="2"/>
  <c r="H15" i="2"/>
  <c r="I15" i="2"/>
  <c r="J15" i="2"/>
  <c r="K15" i="2"/>
  <c r="H14" i="2"/>
  <c r="I14" i="2"/>
  <c r="J14" i="2"/>
  <c r="K14" i="2"/>
  <c r="H13" i="2"/>
  <c r="I13" i="2"/>
  <c r="J13" i="2"/>
  <c r="K13" i="2"/>
  <c r="H11" i="2"/>
  <c r="I11" i="2"/>
  <c r="J11" i="2"/>
  <c r="K11" i="2"/>
  <c r="H10" i="2"/>
  <c r="I10" i="2"/>
  <c r="J10" i="2"/>
  <c r="K10" i="2"/>
  <c r="H9" i="2"/>
  <c r="I9" i="2"/>
  <c r="J9" i="2"/>
  <c r="K9" i="2"/>
  <c r="B17" i="9"/>
  <c r="G10" i="4"/>
  <c r="G16" i="4"/>
  <c r="H11" i="6" s="1"/>
  <c r="H10" i="4"/>
  <c r="H16" i="4"/>
  <c r="I11" i="6" s="1"/>
  <c r="I10" i="4"/>
  <c r="I16" i="4"/>
  <c r="J11" i="6" s="1"/>
  <c r="J10" i="4"/>
  <c r="J16" i="4"/>
  <c r="G26" i="4" s="1"/>
  <c r="I16" i="5" l="1"/>
  <c r="H8" i="3" s="1"/>
  <c r="F21" i="9"/>
  <c r="H24" i="2"/>
  <c r="H31" i="3" s="1"/>
  <c r="H39" i="3"/>
  <c r="H64" i="3" s="1"/>
  <c r="I8" i="9" s="1"/>
  <c r="I11" i="5"/>
  <c r="I17" i="5"/>
  <c r="K11" i="6"/>
  <c r="I14" i="5"/>
  <c r="I8" i="5"/>
  <c r="J16" i="5"/>
  <c r="I8" i="3" s="1"/>
  <c r="I24" i="2"/>
  <c r="J17" i="5"/>
  <c r="J11" i="5"/>
  <c r="F22" i="9"/>
  <c r="K6" i="5"/>
  <c r="I39" i="3"/>
  <c r="I64" i="3" s="1"/>
  <c r="I9" i="9" s="1"/>
  <c r="J14" i="5"/>
  <c r="I26" i="5" l="1"/>
  <c r="H21" i="2"/>
  <c r="H32" i="3" s="1"/>
  <c r="H8" i="2"/>
  <c r="H19" i="2" s="1"/>
  <c r="I31" i="3"/>
  <c r="I18" i="5"/>
  <c r="I20" i="5" s="1"/>
  <c r="I25" i="5" s="1"/>
  <c r="H14" i="6" s="1"/>
  <c r="C8" i="9" s="1"/>
  <c r="H53" i="2"/>
  <c r="H58" i="2" s="1"/>
  <c r="H34" i="3" s="1"/>
  <c r="F23" i="9"/>
  <c r="K11" i="5"/>
  <c r="K26" i="5" s="1"/>
  <c r="K17" i="5"/>
  <c r="K16" i="5"/>
  <c r="J8" i="3" s="1"/>
  <c r="J24" i="2"/>
  <c r="J31" i="3" s="1"/>
  <c r="J39" i="3"/>
  <c r="J64" i="3" s="1"/>
  <c r="I10" i="9" s="1"/>
  <c r="L6" i="5"/>
  <c r="K8" i="5"/>
  <c r="K14" i="5"/>
  <c r="I21" i="2"/>
  <c r="I53" i="2"/>
  <c r="I58" i="2" s="1"/>
  <c r="J18" i="5"/>
  <c r="J20" i="5" s="1"/>
  <c r="J26" i="5"/>
  <c r="I22" i="5" l="1"/>
  <c r="I23" i="5" s="1"/>
  <c r="I8" i="2"/>
  <c r="I34" i="3"/>
  <c r="J25" i="5"/>
  <c r="I14" i="6" s="1"/>
  <c r="C9" i="9" s="1"/>
  <c r="J22" i="5"/>
  <c r="I32" i="3"/>
  <c r="F24" i="9"/>
  <c r="L14" i="5"/>
  <c r="L8" i="5"/>
  <c r="K24" i="2"/>
  <c r="K31" i="3" s="1"/>
  <c r="L16" i="5"/>
  <c r="K8" i="3" s="1"/>
  <c r="L11" i="5"/>
  <c r="L26" i="5" s="1"/>
  <c r="L17" i="5"/>
  <c r="K39" i="3"/>
  <c r="K64" i="3" s="1"/>
  <c r="I11" i="9" s="1"/>
  <c r="J21" i="2"/>
  <c r="J53" i="2"/>
  <c r="J58" i="2" s="1"/>
  <c r="K18" i="5"/>
  <c r="K20" i="5" s="1"/>
  <c r="I24" i="5" l="1"/>
  <c r="H5" i="3"/>
  <c r="H28" i="3" s="1"/>
  <c r="H35" i="3" s="1"/>
  <c r="H13" i="6"/>
  <c r="H7" i="6"/>
  <c r="J8" i="2"/>
  <c r="J19" i="2" s="1"/>
  <c r="I19" i="2"/>
  <c r="K22" i="5"/>
  <c r="K25" i="5"/>
  <c r="J14" i="6" s="1"/>
  <c r="C10" i="9" s="1"/>
  <c r="J34" i="3"/>
  <c r="I7" i="6"/>
  <c r="I13" i="6"/>
  <c r="I5" i="3"/>
  <c r="I28" i="3" s="1"/>
  <c r="I35" i="3" s="1"/>
  <c r="J23" i="5"/>
  <c r="I36" i="3" s="1"/>
  <c r="J32" i="3"/>
  <c r="L18" i="5"/>
  <c r="L20" i="5" s="1"/>
  <c r="K53" i="2"/>
  <c r="K58" i="2" s="1"/>
  <c r="K34" i="3" s="1"/>
  <c r="K21" i="2"/>
  <c r="K32" i="3" s="1"/>
  <c r="H36" i="3" l="1"/>
  <c r="H37" i="3" s="1"/>
  <c r="H8" i="9" s="1"/>
  <c r="H37" i="2"/>
  <c r="H38" i="2" s="1"/>
  <c r="K8" i="2"/>
  <c r="K19" i="2" s="1"/>
  <c r="L22" i="5"/>
  <c r="L23" i="5" s="1"/>
  <c r="L25" i="5"/>
  <c r="K14" i="6" s="1"/>
  <c r="C11" i="9" s="1"/>
  <c r="I37" i="3"/>
  <c r="J24" i="5"/>
  <c r="J7" i="6"/>
  <c r="K23" i="5"/>
  <c r="J36" i="3" s="1"/>
  <c r="J5" i="3"/>
  <c r="J28" i="3" s="1"/>
  <c r="J35" i="3" s="1"/>
  <c r="J13" i="6"/>
  <c r="H66" i="3" l="1"/>
  <c r="H71" i="3" s="1"/>
  <c r="J8" i="9" s="1"/>
  <c r="H5" i="6"/>
  <c r="D8" i="9" s="1"/>
  <c r="J37" i="3"/>
  <c r="H10" i="9" s="1"/>
  <c r="I66" i="3"/>
  <c r="I71" i="3" s="1"/>
  <c r="J9" i="9" s="1"/>
  <c r="I5" i="6"/>
  <c r="D9" i="9" s="1"/>
  <c r="H9" i="9"/>
  <c r="I37" i="2"/>
  <c r="K24" i="5"/>
  <c r="H12" i="6"/>
  <c r="H59" i="2"/>
  <c r="H8" i="6"/>
  <c r="K13" i="6"/>
  <c r="K7" i="6"/>
  <c r="K5" i="3"/>
  <c r="K28" i="3" s="1"/>
  <c r="K35" i="3" s="1"/>
  <c r="K36" i="3"/>
  <c r="H72" i="3" l="1"/>
  <c r="H75" i="3" s="1"/>
  <c r="H25" i="2" s="1"/>
  <c r="I73" i="3" s="1"/>
  <c r="I72" i="3"/>
  <c r="K37" i="3"/>
  <c r="H11" i="9" s="1"/>
  <c r="L24" i="5"/>
  <c r="K66" i="3" s="1"/>
  <c r="K71" i="3" s="1"/>
  <c r="J11" i="9" s="1"/>
  <c r="J5" i="6"/>
  <c r="D10" i="9" s="1"/>
  <c r="J66" i="3"/>
  <c r="J71" i="3" s="1"/>
  <c r="I38" i="2"/>
  <c r="J37" i="2"/>
  <c r="I75" i="3" l="1"/>
  <c r="I25" i="2" s="1"/>
  <c r="I32" i="2" s="1"/>
  <c r="H32" i="2"/>
  <c r="H33" i="2" s="1"/>
  <c r="H61" i="2" s="1"/>
  <c r="K5" i="6"/>
  <c r="D11" i="9" s="1"/>
  <c r="E26" i="4"/>
  <c r="K26" i="4"/>
  <c r="J10" i="9"/>
  <c r="J72" i="3"/>
  <c r="J38" i="2"/>
  <c r="K37" i="2"/>
  <c r="K38" i="2" s="1"/>
  <c r="I12" i="6"/>
  <c r="I59" i="2"/>
  <c r="I8" i="6"/>
  <c r="K72" i="3"/>
  <c r="J73" i="3" l="1"/>
  <c r="J75" i="3" s="1"/>
  <c r="J25" i="2" s="1"/>
  <c r="K73" i="3" s="1"/>
  <c r="K75" i="3" s="1"/>
  <c r="H9" i="6"/>
  <c r="H15" i="6"/>
  <c r="H10" i="6"/>
  <c r="K12" i="6"/>
  <c r="K59" i="2"/>
  <c r="K8" i="6"/>
  <c r="I10" i="6"/>
  <c r="I33" i="2"/>
  <c r="I9" i="6"/>
  <c r="J59" i="2"/>
  <c r="J12" i="6"/>
  <c r="J8" i="6"/>
  <c r="J32" i="2" l="1"/>
  <c r="J33" i="2" s="1"/>
  <c r="K25" i="2"/>
  <c r="K32" i="2" s="1"/>
  <c r="H26" i="4"/>
  <c r="I61" i="2"/>
  <c r="I15" i="6"/>
  <c r="J9" i="6" l="1"/>
  <c r="J10" i="6"/>
  <c r="J61" i="2"/>
  <c r="J15" i="6"/>
  <c r="K9" i="6"/>
  <c r="K33" i="2"/>
  <c r="K10" i="6"/>
  <c r="K61" i="2" l="1"/>
  <c r="K15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8" authorId="0" shapeId="0" xr:uid="{00000000-0006-0000-0100-000001000000}">
      <text>
        <r>
          <rPr>
            <sz val="10"/>
            <rFont val="Arial"/>
            <family val="2"/>
          </rPr>
          <t xml:space="preserve">HP:
</t>
        </r>
        <r>
          <rPr>
            <sz val="9"/>
            <color rgb="FF000000"/>
            <rFont val="Tahoma"/>
            <family val="2"/>
            <charset val="1"/>
          </rPr>
          <t>Opening + Capex − Depreciation</t>
        </r>
      </text>
    </comment>
    <comment ref="A21" authorId="0" shapeId="0" xr:uid="{00000000-0006-0000-0100-000002000000}">
      <text>
        <r>
          <rPr>
            <sz val="10"/>
            <rFont val="Arial"/>
            <family val="2"/>
          </rPr>
          <t xml:space="preserve">HP:
</t>
        </r>
        <r>
          <rPr>
            <sz val="9"/>
            <color rgb="FF000000"/>
            <rFont val="Tahoma"/>
            <family val="2"/>
            <charset val="1"/>
          </rPr>
          <t>Inventory Days ÷ 365 × COGS</t>
        </r>
      </text>
    </comment>
    <comment ref="A24" authorId="0" shapeId="0" xr:uid="{00000000-0006-0000-0100-000003000000}">
      <text>
        <r>
          <rPr>
            <sz val="10"/>
            <rFont val="Arial"/>
            <family val="2"/>
          </rPr>
          <t xml:space="preserve">HP:
</t>
        </r>
        <r>
          <rPr>
            <sz val="9"/>
            <color rgb="FF000000"/>
            <rFont val="Tahoma"/>
            <family val="2"/>
            <charset val="1"/>
          </rPr>
          <t>Receivable Days ÷ 365 × Revenue</t>
        </r>
      </text>
    </comment>
    <comment ref="A37" authorId="0" shapeId="0" xr:uid="{00000000-0006-0000-0100-000004000000}">
      <text>
        <r>
          <rPr>
            <sz val="10"/>
            <rFont val="Arial"/>
            <family val="2"/>
          </rPr>
          <t xml:space="preserve">HP:
</t>
        </r>
        <r>
          <rPr>
            <sz val="9"/>
            <color rgb="FF000000"/>
            <rFont val="Tahoma"/>
            <family val="2"/>
            <charset val="1"/>
          </rPr>
          <t>Opening + Net Profit − Dividends</t>
        </r>
      </text>
    </comment>
    <comment ref="A52" authorId="0" shapeId="0" xr:uid="{00000000-0006-0000-0100-000005000000}">
      <text>
        <r>
          <rPr>
            <sz val="10"/>
            <rFont val="Arial"/>
            <family val="2"/>
          </rPr>
          <t xml:space="preserve">HP:
</t>
        </r>
        <r>
          <rPr>
            <sz val="9"/>
            <color rgb="FF000000"/>
            <rFont val="Tahoma"/>
            <family val="2"/>
            <charset val="1"/>
          </rPr>
          <t>Payable Days ÷ 365 × COGS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5" authorId="0" shapeId="0" xr:uid="{00000000-0006-0000-0500-000001000000}">
      <text>
        <r>
          <rPr>
            <sz val="10"/>
            <rFont val="Arial"/>
            <family val="2"/>
          </rPr>
          <t xml:space="preserve">HP:
</t>
        </r>
        <r>
          <rPr>
            <sz val="9"/>
            <color rgb="FF000000"/>
            <rFont val="Tahoma"/>
            <family val="2"/>
            <charset val="1"/>
          </rPr>
          <t>Net Profit Margin = Net Profit ÷ Revenue</t>
        </r>
      </text>
    </comment>
    <comment ref="A6" authorId="0" shapeId="0" xr:uid="{00000000-0006-0000-0500-000002000000}">
      <text>
        <r>
          <rPr>
            <sz val="10"/>
            <rFont val="Arial"/>
            <family val="2"/>
          </rPr>
          <t xml:space="preserve">HP:
</t>
        </r>
        <r>
          <rPr>
            <sz val="9"/>
            <color rgb="FF000000"/>
            <rFont val="Tahoma"/>
            <family val="2"/>
            <charset val="1"/>
          </rPr>
          <t>(Revenue − COGS) ÷ Revenue</t>
        </r>
      </text>
    </comment>
    <comment ref="A8" authorId="0" shapeId="0" xr:uid="{00000000-0006-0000-0500-000003000000}">
      <text>
        <r>
          <rPr>
            <sz val="10"/>
            <rFont val="Arial"/>
            <family val="2"/>
          </rPr>
          <t xml:space="preserve">HP:
</t>
        </r>
        <r>
          <rPr>
            <sz val="9"/>
            <color rgb="FF000000"/>
            <rFont val="Tahoma"/>
            <family val="2"/>
            <charset val="1"/>
          </rPr>
          <t>Net Profit/Total Equity</t>
        </r>
      </text>
    </comment>
    <comment ref="A9" authorId="0" shapeId="0" xr:uid="{00000000-0006-0000-0500-000004000000}">
      <text>
        <r>
          <rPr>
            <sz val="10"/>
            <rFont val="Arial"/>
            <family val="2"/>
          </rPr>
          <t xml:space="preserve">HP:
</t>
        </r>
        <r>
          <rPr>
            <sz val="9"/>
            <color rgb="FF000000"/>
            <rFont val="Tahoma"/>
            <family val="2"/>
            <charset val="1"/>
          </rPr>
          <t>Current Assets/Current Liab</t>
        </r>
      </text>
    </comment>
    <comment ref="A10" authorId="0" shapeId="0" xr:uid="{00000000-0006-0000-0500-000005000000}">
      <text>
        <r>
          <rPr>
            <sz val="10"/>
            <rFont val="Arial"/>
            <family val="2"/>
          </rPr>
          <t xml:space="preserve">HP:
</t>
        </r>
        <r>
          <rPr>
            <sz val="9"/>
            <color rgb="FF000000"/>
            <rFont val="Tahoma"/>
            <family val="2"/>
            <charset val="1"/>
          </rPr>
          <t>(Current Assets − Inventory)/Current Liab</t>
        </r>
      </text>
    </comment>
    <comment ref="A11" authorId="0" shapeId="0" xr:uid="{00000000-0006-0000-0500-000006000000}">
      <text>
        <r>
          <rPr>
            <sz val="10"/>
            <rFont val="Arial"/>
            <family val="2"/>
          </rPr>
          <t xml:space="preserve">HP:
</t>
        </r>
        <r>
          <rPr>
            <sz val="9"/>
            <color rgb="FF000000"/>
            <rFont val="Tahoma"/>
            <family val="2"/>
            <charset val="1"/>
          </rPr>
          <t>Recv Days + Inv Days − Payable Days</t>
        </r>
      </text>
    </comment>
    <comment ref="A12" authorId="0" shapeId="0" xr:uid="{00000000-0006-0000-0500-000007000000}">
      <text>
        <r>
          <rPr>
            <sz val="10"/>
            <rFont val="Arial"/>
            <family val="2"/>
          </rPr>
          <t xml:space="preserve">HP:
</t>
        </r>
        <r>
          <rPr>
            <sz val="9"/>
            <color rgb="FF000000"/>
            <rFont val="Tahoma"/>
            <family val="2"/>
            <charset val="1"/>
          </rPr>
          <t>Borrowings/Equity</t>
        </r>
      </text>
    </comment>
    <comment ref="A13" authorId="0" shapeId="0" xr:uid="{00000000-0006-0000-0500-000008000000}">
      <text>
        <r>
          <rPr>
            <sz val="10"/>
            <rFont val="Arial"/>
            <family val="2"/>
          </rPr>
          <t xml:space="preserve">HP:
</t>
        </r>
        <r>
          <rPr>
            <sz val="9"/>
            <color rgb="FF000000"/>
            <rFont val="Tahoma"/>
            <family val="2"/>
            <charset val="1"/>
          </rPr>
          <t>EBIT/Finance Costs</t>
        </r>
      </text>
    </comment>
  </commentList>
</comments>
</file>

<file path=xl/sharedStrings.xml><?xml version="1.0" encoding="utf-8"?>
<sst xmlns="http://schemas.openxmlformats.org/spreadsheetml/2006/main" count="475" uniqueCount="243">
  <si>
    <t>Standalone Statement of Profit and Loss</t>
  </si>
  <si>
    <t>Particulars</t>
  </si>
  <si>
    <t>INCOME</t>
  </si>
  <si>
    <t>Revenue from operations</t>
  </si>
  <si>
    <t>Other income</t>
  </si>
  <si>
    <t>TOTAL INCOME</t>
  </si>
  <si>
    <t>EXPENSES</t>
  </si>
  <si>
    <t>Cost of materials consumed</t>
  </si>
  <si>
    <t>Purchases of stock-in-trade</t>
  </si>
  <si>
    <t>Changes in inventories of finished goods work-in-progress and stock-in-trade</t>
  </si>
  <si>
    <t>Employee benefits expense</t>
  </si>
  <si>
    <t>Finance costs</t>
  </si>
  <si>
    <t>Depreciation and amortisation expense</t>
  </si>
  <si>
    <t>Other expenses</t>
  </si>
  <si>
    <t>TOTAL EXPENSES</t>
  </si>
  <si>
    <t>Profit before exceptional items and tax</t>
  </si>
  <si>
    <t>Exceptional items</t>
  </si>
  <si>
    <t>Profit before tax</t>
  </si>
  <si>
    <t>Tax expense</t>
  </si>
  <si>
    <t>Current tax</t>
  </si>
  <si>
    <t>Deferred tax</t>
  </si>
  <si>
    <t>As at  31st March 2021</t>
  </si>
  <si>
    <t>As at  31st March 2022</t>
  </si>
  <si>
    <t>As at  31st March 2023</t>
  </si>
  <si>
    <t>As at  31st March 2024</t>
  </si>
  <si>
    <t>As at  31st March 2025</t>
  </si>
  <si>
    <t>As at  31st March 2026</t>
  </si>
  <si>
    <t>ASSETS</t>
  </si>
  <si>
    <t xml:space="preserve">Non Current assets </t>
  </si>
  <si>
    <t>Property, Plant &amp; Equipment</t>
  </si>
  <si>
    <t>Capital Work in Progress</t>
  </si>
  <si>
    <t>Goodwill</t>
  </si>
  <si>
    <t>Other tengible assets</t>
  </si>
  <si>
    <t>Financial Assets</t>
  </si>
  <si>
    <t>Investment in Subsidiaries and Joint Venture</t>
  </si>
  <si>
    <t>Investments</t>
  </si>
  <si>
    <t>Loans</t>
  </si>
  <si>
    <t>Other Financial assets</t>
  </si>
  <si>
    <t>Non- current Tax asset (net)</t>
  </si>
  <si>
    <t>Other Non current assets</t>
  </si>
  <si>
    <t>Current Assets</t>
  </si>
  <si>
    <t>Inventories</t>
  </si>
  <si>
    <t>Investment</t>
  </si>
  <si>
    <t>Trade Receivables</t>
  </si>
  <si>
    <t>Cash and cash equivalents</t>
  </si>
  <si>
    <t>Bank balance other than cash and cash equivalents mention above</t>
  </si>
  <si>
    <t>Current tax Assets (net)</t>
  </si>
  <si>
    <t>-</t>
  </si>
  <si>
    <t>Other current Assets</t>
  </si>
  <si>
    <t>Asset hold for sale</t>
  </si>
  <si>
    <t>EQUITY AND LIABILITES</t>
  </si>
  <si>
    <t>Equity</t>
  </si>
  <si>
    <t>Equity share capital</t>
  </si>
  <si>
    <t>Other equtiy</t>
  </si>
  <si>
    <t xml:space="preserve">Liabilities </t>
  </si>
  <si>
    <t xml:space="preserve">Non current liabilities </t>
  </si>
  <si>
    <t>Financial liabilities</t>
  </si>
  <si>
    <t>lease liabilities</t>
  </si>
  <si>
    <t>Other financial liabilities</t>
  </si>
  <si>
    <t>Provisions</t>
  </si>
  <si>
    <t>Deffered tax liablities (net)</t>
  </si>
  <si>
    <t>Non-current tax liabilities (net)</t>
  </si>
  <si>
    <t>Current liabilities</t>
  </si>
  <si>
    <t xml:space="preserve">Trade payble </t>
  </si>
  <si>
    <t>Total outstanding dues of micro enterprises and small
enterprises</t>
  </si>
  <si>
    <t>Total outstanding dues of creditors other than micro enterprises
and small enterprises</t>
  </si>
  <si>
    <t>other current liabilities</t>
  </si>
  <si>
    <t>current tax liabilities</t>
  </si>
  <si>
    <t>check</t>
  </si>
  <si>
    <t>Standalone Statement of Cash Flows</t>
  </si>
  <si>
    <t>A CASH FLOWS FROM OPERATING ACTIVITIES:</t>
  </si>
  <si>
    <t>Profit before tax from countinuing operations</t>
  </si>
  <si>
    <t>Profit / loss before tax from discounted operations</t>
  </si>
  <si>
    <t>Adjustement for:</t>
  </si>
  <si>
    <t>Depricitain and amortisation expense</t>
  </si>
  <si>
    <t>Government grant accrued (net)</t>
  </si>
  <si>
    <t>Contingent consideration true up for business combination</t>
  </si>
  <si>
    <t>loss on sale of Property, Plant and equipment</t>
  </si>
  <si>
    <t>Fair value loss/gain on financial liability on acqusition</t>
  </si>
  <si>
    <t>Interest Income</t>
  </si>
  <si>
    <t>Dividend Income</t>
  </si>
  <si>
    <t>Other non operating income - Fair value gain on investment</t>
  </si>
  <si>
    <t xml:space="preserve">Profit on sale of stake in joint venture </t>
  </si>
  <si>
    <t>Interest expense</t>
  </si>
  <si>
    <t>Profit on sale of water purification business</t>
  </si>
  <si>
    <t>Movement of provision towards litigation</t>
  </si>
  <si>
    <t>Reversal of indemnifcation asset on expiry of underlying income tax provision</t>
  </si>
  <si>
    <t>Inventory written off (net)</t>
  </si>
  <si>
    <t xml:space="preserve">Bad debt / asset written off net of provision </t>
  </si>
  <si>
    <t>Transaction cost on acquisition</t>
  </si>
  <si>
    <t>Profit on sale of brand rights</t>
  </si>
  <si>
    <t>Equity sattleld share based payment expense</t>
  </si>
  <si>
    <t xml:space="preserve">Gain on demerger of ice cream business </t>
  </si>
  <si>
    <t>Mark to market (gain) / loss on derivatives financial instrument</t>
  </si>
  <si>
    <t>Cash generated from operations before working capital changes</t>
  </si>
  <si>
    <t>(Increase)/decrease in Non current assets</t>
  </si>
  <si>
    <t>(Increase)/decrease in current asset</t>
  </si>
  <si>
    <t>(Increase)/decrease in inventory</t>
  </si>
  <si>
    <t>(Increase)/decrease in non current liab</t>
  </si>
  <si>
    <t>(Increase)/decrease in current liab</t>
  </si>
  <si>
    <t xml:space="preserve">Cash flow generated from operations before tax </t>
  </si>
  <si>
    <t>Tax paid, net of refunds</t>
  </si>
  <si>
    <t xml:space="preserve">Net cash flow generated from operation activities - (A) </t>
  </si>
  <si>
    <t>B CASH FLOWS FROM INVESTING ACTIVITIES:</t>
  </si>
  <si>
    <t>Purchase of property, plant, equipment</t>
  </si>
  <si>
    <t>Sale proceed for property, plant and equipment</t>
  </si>
  <si>
    <t>Purchase of intengible asset</t>
  </si>
  <si>
    <t>Sale proceeds of intangibles (brand rights)</t>
  </si>
  <si>
    <t>Sale proceed for water purification business</t>
  </si>
  <si>
    <t>Investment in Joint Venture</t>
  </si>
  <si>
    <t>Investment in subsidiaries</t>
  </si>
  <si>
    <t>Consideration recevied in disposal of joint venture( net of transaction costs)</t>
  </si>
  <si>
    <t>Purchase of non current asset</t>
  </si>
  <si>
    <t>sale proceeds of non current investment</t>
  </si>
  <si>
    <t>Purchase of current investments</t>
  </si>
  <si>
    <t>Stamp duty on issue of equity shares</t>
  </si>
  <si>
    <t>Sale proceeds of current investments</t>
  </si>
  <si>
    <t>Loans given to subsidiaries</t>
  </si>
  <si>
    <t xml:space="preserve">Loans repaid by subsidiaries </t>
  </si>
  <si>
    <t>Loans given to others</t>
  </si>
  <si>
    <t>Loans repaid by others</t>
  </si>
  <si>
    <t>Investment in term deposits (having original maturity of more than 3 months)</t>
  </si>
  <si>
    <t>Redemption / maturity of term deposits ( having original maturity of more than 3 months)</t>
  </si>
  <si>
    <t>Investment in non-current deposits</t>
  </si>
  <si>
    <t>Redemption / maturity of term deposits (with remaining maturity of more than 12 months)</t>
  </si>
  <si>
    <t xml:space="preserve">Interest received </t>
  </si>
  <si>
    <t xml:space="preserve">Dividend received from subsidiaries </t>
  </si>
  <si>
    <t>Dividend received from others</t>
  </si>
  <si>
    <t>Net cash flow ( used in )/ generated from investing activities - [B]</t>
  </si>
  <si>
    <t>C CASH FLOWS FROM FINANCING ACTIVITIES:</t>
  </si>
  <si>
    <t>Dividend paids</t>
  </si>
  <si>
    <t>Principal payment of lease liabilities</t>
  </si>
  <si>
    <t>Interest paid of lease liabilities</t>
  </si>
  <si>
    <t>Interest paid other than on lease liabilities</t>
  </si>
  <si>
    <t>Proceeds from share allotment under employee stock options/ performance share</t>
  </si>
  <si>
    <t>Net cash flows used in financing activities - (C)</t>
  </si>
  <si>
    <t>Net (decrese) / increase in cash and cash equvialnets [A]+[B]+[C]</t>
  </si>
  <si>
    <t>Add: cash and cash equivalents at the begning of the year</t>
  </si>
  <si>
    <t>Add: Cash acquired under Business Combination</t>
  </si>
  <si>
    <t xml:space="preserve">cash and cash equivalents at the end of the year </t>
  </si>
  <si>
    <t>HUL Standalone — Model Assumptions</t>
  </si>
  <si>
    <t>Base year: FY 2025-26 (actual)  |  Forecast year: FY 2026-27E</t>
  </si>
  <si>
    <t>Growth &amp; margins</t>
  </si>
  <si>
    <t>Revenue growth %</t>
  </si>
  <si>
    <t>5 year avg</t>
  </si>
  <si>
    <t>COGS % of revenue</t>
  </si>
  <si>
    <t>Employee cost % of revenue</t>
  </si>
  <si>
    <t>Other expenses % of revenue</t>
  </si>
  <si>
    <t>Depreciation % of revenue</t>
  </si>
  <si>
    <t>Effective tax rate</t>
  </si>
  <si>
    <t>Working capital (days)</t>
  </si>
  <si>
    <t>Trade receivable days</t>
  </si>
  <si>
    <t>Inventory days</t>
  </si>
  <si>
    <t>2 days avg</t>
  </si>
  <si>
    <t>Payable days</t>
  </si>
  <si>
    <t>Capex &amp; financing</t>
  </si>
  <si>
    <t>Capex % of revenue</t>
  </si>
  <si>
    <t>Dividend payout ratio</t>
  </si>
  <si>
    <t>4 Year avg</t>
  </si>
  <si>
    <t>Cost of goods sold</t>
  </si>
  <si>
    <t>Net Profit Margin %</t>
  </si>
  <si>
    <t>Gross Margin %</t>
  </si>
  <si>
    <t>Operating Margin %</t>
  </si>
  <si>
    <t>ROE</t>
  </si>
  <si>
    <t>Current Ratio</t>
  </si>
  <si>
    <t>Quick Ratio</t>
  </si>
  <si>
    <t>Debt to Equity</t>
  </si>
  <si>
    <t>Interest Coverage</t>
  </si>
  <si>
    <t>Payble days</t>
  </si>
  <si>
    <t>FY 30 closing cash</t>
  </si>
  <si>
    <t>SENSITIVITY TESTS</t>
  </si>
  <si>
    <t>Growth%</t>
  </si>
  <si>
    <t xml:space="preserve"> COGS % </t>
  </si>
  <si>
    <t>FY 30 Profit</t>
  </si>
  <si>
    <t>Gross Profit</t>
  </si>
  <si>
    <t>EBITDA</t>
  </si>
  <si>
    <t>As at 31 March 2027 E</t>
  </si>
  <si>
    <t>As at 31 March 2028 E</t>
  </si>
  <si>
    <t>As at 31 March 2029 E</t>
  </si>
  <si>
    <t>As at 31 March 2030 E</t>
  </si>
  <si>
    <t>Year</t>
  </si>
  <si>
    <t>FY21</t>
  </si>
  <si>
    <t>FY22</t>
  </si>
  <si>
    <t>FY23</t>
  </si>
  <si>
    <t>FY24</t>
  </si>
  <si>
    <t>FY25</t>
  </si>
  <si>
    <t>FY27E</t>
  </si>
  <si>
    <t>FY28E</t>
  </si>
  <si>
    <t>FY29E</t>
  </si>
  <si>
    <t>FY30E</t>
  </si>
  <si>
    <t xml:space="preserve"> HUL Financial Dashboard</t>
  </si>
  <si>
    <t>Gross Margin</t>
  </si>
  <si>
    <t>EBITDA Margin</t>
  </si>
  <si>
    <t>EBITDA Margin %</t>
  </si>
  <si>
    <t>FY20-21</t>
  </si>
  <si>
    <t>FY21-22</t>
  </si>
  <si>
    <t>FY22-23</t>
  </si>
  <si>
    <t>FY23-24</t>
  </si>
  <si>
    <t>FY24-25</t>
  </si>
  <si>
    <t>FY25-26A</t>
  </si>
  <si>
    <t>FY26-27E</t>
  </si>
  <si>
    <t>FY27-28E</t>
  </si>
  <si>
    <t>FY28-29E</t>
  </si>
  <si>
    <t>FY29-30E</t>
  </si>
  <si>
    <t>Operating CF</t>
  </si>
  <si>
    <t>Investing CF</t>
  </si>
  <si>
    <t>Financing CF</t>
  </si>
  <si>
    <t>FY26</t>
  </si>
  <si>
    <t>Asset</t>
  </si>
  <si>
    <t>FY25-26</t>
  </si>
  <si>
    <t>Cash &amp; Cash Equivalents</t>
  </si>
  <si>
    <t>Other Current Assets</t>
  </si>
  <si>
    <t>Property, Plant &amp; Equipment (PPE)</t>
  </si>
  <si>
    <t>Other Non-Current Assets</t>
  </si>
  <si>
    <t>Dashboard Ratio</t>
  </si>
  <si>
    <t>Source</t>
  </si>
  <si>
    <t>ROA</t>
  </si>
  <si>
    <t>Net Profit Margin</t>
  </si>
  <si>
    <t>Profit before exceptional items and tax (EBIT)</t>
  </si>
  <si>
    <t>FORECAST.LINEAR</t>
  </si>
  <si>
    <t>PROFIT FOR THE YEAR</t>
  </si>
  <si>
    <t>Profit before tax (PBT)</t>
  </si>
  <si>
    <t>Historical</t>
  </si>
  <si>
    <t>Forecast</t>
  </si>
  <si>
    <t>Liability</t>
  </si>
  <si>
    <t>Current Liabilities</t>
  </si>
  <si>
    <t>Non-Current Liabilities</t>
  </si>
  <si>
    <t>Share Capital</t>
  </si>
  <si>
    <t>Other Equity (Reserves)</t>
  </si>
  <si>
    <t xml:space="preserve">Standalone Balance Sheet </t>
  </si>
  <si>
    <t>₹ crore</t>
  </si>
  <si>
    <t xml:space="preserve">Total Non current Assets </t>
  </si>
  <si>
    <t>Total current assets</t>
  </si>
  <si>
    <t xml:space="preserve">Total Assets </t>
  </si>
  <si>
    <t xml:space="preserve">Total equtiy </t>
  </si>
  <si>
    <t xml:space="preserve">Total - Non-current liabilities </t>
  </si>
  <si>
    <t>Total - Current liabilities</t>
  </si>
  <si>
    <t>TOTAL EQUITY AND LIABILITIES</t>
  </si>
  <si>
    <t xml:space="preserve">PROFIT FOR THE YEAR </t>
  </si>
  <si>
    <t>HUL Standalone — Projected Financial Statement</t>
  </si>
  <si>
    <t>HUL Financial Ratios</t>
  </si>
  <si>
    <t>Historical and forecast ratio analysis</t>
  </si>
  <si>
    <t>Cash Conversion Cycle (days)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</si>
</sst>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0;\(#,##0.00\)"/>
    <numFmt numFmtId="165" formatCode="#,##0.0"/>
    <numFmt numFmtId="166" formatCode="#,##0.0;\(#,##0.0\)"/>
    <numFmt numFmtId="167" formatCode="0.0&quot; days&quot;"/>
    <numFmt numFmtId="168" formatCode="0.0%"/>
    <numFmt numFmtId="169" formatCode="0.0"/>
    <numFmt numFmtId="170" formatCode="#,##0;\(#,##0\);\-"/>
    <numFmt numFmtId="171" formatCode="0.0\x;\(0.0\x\);\-"/>
    <numFmt numFmtId="172" formatCode="0.0&quot; days&quot;;\(0.0&quot; days&quot;\);\-"/>
  </numFmts>
  <fonts count="28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theme="4" tint="-0.499984740745262"/>
      <name val="Cambria"/>
      <family val="1"/>
      <charset val="1"/>
    </font>
    <font>
      <sz val="11"/>
      <color theme="1"/>
      <name val="Cambria"/>
      <family val="1"/>
      <charset val="1"/>
    </font>
    <font>
      <b/>
      <sz val="11"/>
      <color theme="1"/>
      <name val="Calibri"/>
      <family val="2"/>
      <charset val="1"/>
    </font>
    <font>
      <b/>
      <sz val="11"/>
      <color theme="1"/>
      <name val="Cambria"/>
      <family val="1"/>
      <charset val="1"/>
    </font>
    <font>
      <sz val="9"/>
      <color rgb="FF000000"/>
      <name val="Tahoma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14"/>
      <color theme="1"/>
      <name val="Cambria"/>
      <family val="1"/>
    </font>
    <font>
      <sz val="10"/>
      <color theme="1"/>
      <name val="Arial"/>
      <family val="2"/>
    </font>
    <font>
      <b/>
      <sz val="11"/>
      <color theme="4" tint="-0.249977111117893"/>
      <name val="Cambria"/>
      <family val="1"/>
      <charset val="1"/>
    </font>
    <font>
      <b/>
      <sz val="10"/>
      <color theme="4" tint="-0.499984740745262"/>
      <name val="Arial"/>
      <family val="2"/>
    </font>
    <font>
      <b/>
      <sz val="10"/>
      <color theme="1"/>
      <name val="Arial"/>
      <family val="2"/>
    </font>
    <font>
      <b/>
      <sz val="10"/>
      <color theme="4" tint="-0.249977111117893"/>
      <name val="Arial"/>
      <family val="2"/>
    </font>
    <font>
      <b/>
      <sz val="10"/>
      <color theme="9" tint="-0.499984740745262"/>
      <name val="Arial"/>
      <family val="2"/>
    </font>
    <font>
      <sz val="10"/>
      <color rgb="FF0070C0"/>
      <name val="Arial"/>
      <family val="2"/>
    </font>
    <font>
      <b/>
      <sz val="10"/>
      <color theme="0" tint="-4.9989318521683403E-2"/>
      <name val="Arial"/>
      <family val="2"/>
    </font>
    <font>
      <b/>
      <sz val="14"/>
      <color theme="0" tint="-4.9989318521683403E-2"/>
      <name val="Arial"/>
      <family val="2"/>
    </font>
    <font>
      <b/>
      <sz val="10"/>
      <color rgb="FF0070C0"/>
      <name val="Arial"/>
      <family val="2"/>
    </font>
    <font>
      <b/>
      <sz val="10"/>
      <name val="Arial"/>
      <family val="2"/>
    </font>
    <font>
      <i/>
      <sz val="10"/>
      <color rgb="FF595959"/>
      <name val="Arial"/>
      <family val="2"/>
    </font>
    <font>
      <b/>
      <sz val="10"/>
      <color rgb="FF000000"/>
      <name val="Arial"/>
      <family val="2"/>
    </font>
    <font>
      <i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i/>
      <sz val="10"/>
      <color theme="4" tint="-0.49998474074526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7" fillId="0" borderId="0" applyBorder="0" applyProtection="0"/>
  </cellStyleXfs>
  <cellXfs count="126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  <xf numFmtId="9" fontId="0" fillId="0" borderId="0" xfId="0" applyNumberFormat="1" applyAlignment="1">
      <alignment horizontal="right" vertical="center" wrapText="1"/>
    </xf>
    <xf numFmtId="169" fontId="0" fillId="0" borderId="0" xfId="0" applyNumberFormat="1" applyAlignment="1">
      <alignment horizontal="right" vertical="center" wrapText="1"/>
    </xf>
    <xf numFmtId="166" fontId="9" fillId="0" borderId="0" xfId="0" applyNumberFormat="1" applyFont="1"/>
    <xf numFmtId="4" fontId="0" fillId="0" borderId="0" xfId="0" applyNumberFormat="1" applyAlignment="1">
      <alignment horizontal="right" vertical="center" wrapText="1"/>
    </xf>
    <xf numFmtId="168" fontId="0" fillId="0" borderId="0" xfId="0" applyNumberFormat="1" applyAlignment="1">
      <alignment vertical="center" wrapText="1"/>
    </xf>
    <xf numFmtId="168" fontId="7" fillId="0" borderId="0" xfId="1" applyNumberFormat="1"/>
    <xf numFmtId="3" fontId="0" fillId="0" borderId="0" xfId="0" applyNumberFormat="1" applyAlignment="1">
      <alignment horizontal="right" vertical="center" wrapText="1"/>
    </xf>
    <xf numFmtId="0" fontId="9" fillId="3" borderId="0" xfId="0" applyFont="1" applyFill="1"/>
    <xf numFmtId="0" fontId="8" fillId="3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vertical="center" wrapText="1"/>
    </xf>
    <xf numFmtId="4" fontId="9" fillId="3" borderId="0" xfId="0" applyNumberFormat="1" applyFont="1" applyFill="1" applyAlignment="1">
      <alignment vertical="center" wrapText="1"/>
    </xf>
    <xf numFmtId="0" fontId="8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0" fontId="2" fillId="0" borderId="0" xfId="0" applyFont="1" applyAlignment="1">
      <alignment horizontal="left" wrapText="1"/>
    </xf>
    <xf numFmtId="0" fontId="11" fillId="0" borderId="0" xfId="0" applyFont="1"/>
    <xf numFmtId="0" fontId="11" fillId="3" borderId="0" xfId="0" applyFont="1" applyFill="1"/>
    <xf numFmtId="0" fontId="12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wrapText="1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4" fontId="13" fillId="0" borderId="0" xfId="0" applyNumberFormat="1" applyFont="1"/>
    <xf numFmtId="4" fontId="11" fillId="0" borderId="0" xfId="0" applyNumberFormat="1" applyFont="1" applyAlignment="1">
      <alignment wrapText="1"/>
    </xf>
    <xf numFmtId="4" fontId="11" fillId="0" borderId="0" xfId="0" applyNumberFormat="1" applyFont="1"/>
    <xf numFmtId="4" fontId="14" fillId="0" borderId="0" xfId="0" applyNumberFormat="1" applyFont="1"/>
    <xf numFmtId="4" fontId="14" fillId="0" borderId="1" xfId="0" applyNumberFormat="1" applyFont="1" applyBorder="1"/>
    <xf numFmtId="0" fontId="14" fillId="0" borderId="0" xfId="0" applyFont="1"/>
    <xf numFmtId="0" fontId="14" fillId="0" borderId="1" xfId="0" applyFont="1" applyBorder="1"/>
    <xf numFmtId="165" fontId="11" fillId="0" borderId="1" xfId="0" applyNumberFormat="1" applyFont="1" applyBorder="1" applyAlignment="1">
      <alignment wrapText="1"/>
    </xf>
    <xf numFmtId="4" fontId="11" fillId="0" borderId="0" xfId="0" applyNumberFormat="1" applyFont="1" applyAlignment="1">
      <alignment horizontal="right"/>
    </xf>
    <xf numFmtId="4" fontId="11" fillId="0" borderId="0" xfId="0" applyNumberFormat="1" applyFont="1" applyAlignment="1">
      <alignment horizontal="right" wrapText="1"/>
    </xf>
    <xf numFmtId="0" fontId="19" fillId="4" borderId="0" xfId="0" applyFont="1" applyFill="1" applyAlignment="1">
      <alignment horizontal="left" vertical="top"/>
    </xf>
    <xf numFmtId="0" fontId="18" fillId="4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4" fontId="18" fillId="6" borderId="0" xfId="0" applyNumberFormat="1" applyFont="1" applyFill="1"/>
    <xf numFmtId="4" fontId="13" fillId="7" borderId="0" xfId="0" applyNumberFormat="1" applyFont="1" applyFill="1"/>
    <xf numFmtId="170" fontId="17" fillId="0" borderId="0" xfId="0" applyNumberFormat="1" applyFont="1"/>
    <xf numFmtId="170" fontId="17" fillId="0" borderId="0" xfId="0" applyNumberFormat="1" applyFont="1" applyAlignment="1">
      <alignment wrapText="1"/>
    </xf>
    <xf numFmtId="170" fontId="11" fillId="0" borderId="0" xfId="0" applyNumberFormat="1" applyFont="1"/>
    <xf numFmtId="170" fontId="14" fillId="0" borderId="1" xfId="0" applyNumberFormat="1" applyFont="1" applyBorder="1"/>
    <xf numFmtId="170" fontId="14" fillId="0" borderId="1" xfId="0" applyNumberFormat="1" applyFont="1" applyBorder="1" applyAlignment="1">
      <alignment wrapText="1"/>
    </xf>
    <xf numFmtId="170" fontId="14" fillId="0" borderId="0" xfId="0" applyNumberFormat="1" applyFont="1"/>
    <xf numFmtId="170" fontId="11" fillId="0" borderId="0" xfId="0" applyNumberFormat="1" applyFont="1" applyAlignment="1">
      <alignment wrapText="1"/>
    </xf>
    <xf numFmtId="170" fontId="17" fillId="0" borderId="0" xfId="0" applyNumberFormat="1" applyFont="1" applyAlignment="1">
      <alignment horizontal="right"/>
    </xf>
    <xf numFmtId="170" fontId="14" fillId="0" borderId="0" xfId="0" applyNumberFormat="1" applyFont="1" applyAlignment="1">
      <alignment wrapText="1"/>
    </xf>
    <xf numFmtId="170" fontId="17" fillId="0" borderId="0" xfId="0" applyNumberFormat="1" applyFont="1" applyAlignment="1">
      <alignment horizontal="right" wrapText="1"/>
    </xf>
    <xf numFmtId="4" fontId="14" fillId="7" borderId="1" xfId="0" applyNumberFormat="1" applyFont="1" applyFill="1" applyBorder="1"/>
    <xf numFmtId="0" fontId="11" fillId="0" borderId="1" xfId="0" applyFont="1" applyBorder="1" applyAlignment="1">
      <alignment horizontal="center" vertical="center"/>
    </xf>
    <xf numFmtId="164" fontId="13" fillId="0" borderId="0" xfId="0" applyNumberFormat="1" applyFont="1"/>
    <xf numFmtId="164" fontId="11" fillId="0" borderId="0" xfId="0" applyNumberFormat="1" applyFont="1"/>
    <xf numFmtId="164" fontId="14" fillId="0" borderId="1" xfId="0" applyNumberFormat="1" applyFont="1" applyBorder="1"/>
    <xf numFmtId="0" fontId="11" fillId="0" borderId="1" xfId="0" applyFont="1" applyBorder="1"/>
    <xf numFmtId="164" fontId="14" fillId="0" borderId="0" xfId="0" applyNumberFormat="1" applyFont="1"/>
    <xf numFmtId="0" fontId="19" fillId="8" borderId="0" xfId="0" applyFont="1" applyFill="1" applyAlignment="1">
      <alignment horizontal="left" vertical="top"/>
    </xf>
    <xf numFmtId="0" fontId="11" fillId="0" borderId="2" xfId="0" applyFont="1" applyBorder="1" applyAlignment="1">
      <alignment vertical="top"/>
    </xf>
    <xf numFmtId="164" fontId="18" fillId="6" borderId="0" xfId="0" applyNumberFormat="1" applyFont="1" applyFill="1"/>
    <xf numFmtId="164" fontId="11" fillId="0" borderId="0" xfId="0" applyNumberFormat="1" applyFont="1" applyAlignment="1">
      <alignment horizontal="right"/>
    </xf>
    <xf numFmtId="164" fontId="11" fillId="0" borderId="0" xfId="0" applyNumberFormat="1" applyFont="1" applyAlignment="1">
      <alignment horizontal="right" wrapText="1"/>
    </xf>
    <xf numFmtId="164" fontId="18" fillId="4" borderId="0" xfId="0" applyNumberFormat="1" applyFont="1" applyFill="1"/>
    <xf numFmtId="164" fontId="11" fillId="0" borderId="0" xfId="0" applyNumberFormat="1" applyFont="1" applyAlignment="1">
      <alignment horizontal="right" vertical="center" wrapText="1"/>
    </xf>
    <xf numFmtId="164" fontId="14" fillId="0" borderId="4" xfId="0" applyNumberFormat="1" applyFont="1" applyBorder="1"/>
    <xf numFmtId="170" fontId="21" fillId="0" borderId="1" xfId="0" applyNumberFormat="1" applyFont="1" applyBorder="1"/>
    <xf numFmtId="164" fontId="14" fillId="0" borderId="1" xfId="0" applyNumberFormat="1" applyFont="1" applyBorder="1" applyAlignment="1">
      <alignment wrapText="1"/>
    </xf>
    <xf numFmtId="170" fontId="20" fillId="0" borderId="1" xfId="0" applyNumberFormat="1" applyFont="1" applyBorder="1"/>
    <xf numFmtId="170" fontId="11" fillId="0" borderId="1" xfId="0" applyNumberFormat="1" applyFont="1" applyBorder="1"/>
    <xf numFmtId="170" fontId="20" fillId="0" borderId="0" xfId="0" applyNumberFormat="1" applyFont="1" applyAlignment="1">
      <alignment horizontal="right"/>
    </xf>
    <xf numFmtId="170" fontId="20" fillId="0" borderId="0" xfId="0" applyNumberFormat="1" applyFont="1"/>
    <xf numFmtId="0" fontId="22" fillId="0" borderId="0" xfId="0" applyFont="1"/>
    <xf numFmtId="9" fontId="17" fillId="0" borderId="3" xfId="1" applyFont="1" applyBorder="1" applyProtection="1"/>
    <xf numFmtId="0" fontId="24" fillId="0" borderId="0" xfId="0" applyFont="1"/>
    <xf numFmtId="10" fontId="23" fillId="2" borderId="0" xfId="0" applyNumberFormat="1" applyFont="1" applyFill="1"/>
    <xf numFmtId="10" fontId="24" fillId="0" borderId="0" xfId="0" applyNumberFormat="1" applyFont="1"/>
    <xf numFmtId="10" fontId="23" fillId="0" borderId="0" xfId="0" applyNumberFormat="1" applyFont="1"/>
    <xf numFmtId="10" fontId="11" fillId="0" borderId="0" xfId="0" applyNumberFormat="1" applyFont="1"/>
    <xf numFmtId="10" fontId="17" fillId="0" borderId="0" xfId="0" applyNumberFormat="1" applyFont="1"/>
    <xf numFmtId="10" fontId="17" fillId="0" borderId="0" xfId="1" applyNumberFormat="1" applyFont="1" applyBorder="1" applyProtection="1"/>
    <xf numFmtId="9" fontId="17" fillId="0" borderId="0" xfId="1" applyFont="1" applyBorder="1" applyProtection="1"/>
    <xf numFmtId="0" fontId="17" fillId="0" borderId="0" xfId="0" applyFont="1"/>
    <xf numFmtId="9" fontId="20" fillId="0" borderId="0" xfId="1" applyFont="1" applyBorder="1" applyProtection="1"/>
    <xf numFmtId="167" fontId="17" fillId="0" borderId="0" xfId="0" applyNumberFormat="1" applyFont="1"/>
    <xf numFmtId="167" fontId="11" fillId="0" borderId="0" xfId="0" applyNumberFormat="1" applyFont="1"/>
    <xf numFmtId="167" fontId="24" fillId="0" borderId="0" xfId="0" applyNumberFormat="1" applyFont="1" applyAlignment="1">
      <alignment wrapText="1"/>
    </xf>
    <xf numFmtId="167" fontId="26" fillId="0" borderId="0" xfId="0" applyNumberFormat="1" applyFont="1"/>
    <xf numFmtId="168" fontId="11" fillId="0" borderId="0" xfId="0" applyNumberFormat="1" applyFont="1"/>
    <xf numFmtId="0" fontId="14" fillId="0" borderId="3" xfId="0" applyFont="1" applyBorder="1"/>
    <xf numFmtId="10" fontId="11" fillId="0" borderId="3" xfId="0" applyNumberFormat="1" applyFont="1" applyBorder="1"/>
    <xf numFmtId="165" fontId="11" fillId="0" borderId="3" xfId="0" applyNumberFormat="1" applyFont="1" applyBorder="1"/>
    <xf numFmtId="167" fontId="11" fillId="0" borderId="3" xfId="0" applyNumberFormat="1" applyFont="1" applyBorder="1"/>
    <xf numFmtId="169" fontId="11" fillId="0" borderId="3" xfId="0" applyNumberFormat="1" applyFont="1" applyBorder="1"/>
    <xf numFmtId="9" fontId="11" fillId="0" borderId="0" xfId="1" applyFont="1" applyBorder="1" applyProtection="1"/>
    <xf numFmtId="0" fontId="17" fillId="0" borderId="3" xfId="0" applyFont="1" applyBorder="1"/>
    <xf numFmtId="9" fontId="17" fillId="0" borderId="3" xfId="1" applyFont="1" applyBorder="1"/>
    <xf numFmtId="0" fontId="19" fillId="8" borderId="0" xfId="0" applyFont="1" applyFill="1" applyAlignment="1">
      <alignment vertical="top"/>
    </xf>
    <xf numFmtId="0" fontId="27" fillId="9" borderId="0" xfId="0" applyFont="1" applyFill="1" applyAlignment="1">
      <alignment horizontal="center"/>
    </xf>
    <xf numFmtId="10" fontId="25" fillId="0" borderId="0" xfId="0" applyNumberFormat="1" applyFont="1" applyAlignment="1">
      <alignment horizontal="right"/>
    </xf>
    <xf numFmtId="0" fontId="25" fillId="0" borderId="0" xfId="0" applyFont="1" applyAlignment="1">
      <alignment horizontal="right"/>
    </xf>
    <xf numFmtId="168" fontId="17" fillId="0" borderId="0" xfId="0" applyNumberFormat="1" applyFont="1"/>
    <xf numFmtId="168" fontId="17" fillId="0" borderId="0" xfId="1" applyNumberFormat="1" applyFont="1" applyBorder="1" applyProtection="1"/>
    <xf numFmtId="0" fontId="23" fillId="2" borderId="1" xfId="0" applyFont="1" applyFill="1" applyBorder="1"/>
    <xf numFmtId="4" fontId="23" fillId="0" borderId="0" xfId="0" applyNumberFormat="1" applyFont="1"/>
    <xf numFmtId="165" fontId="11" fillId="0" borderId="0" xfId="0" applyNumberFormat="1" applyFont="1"/>
    <xf numFmtId="0" fontId="19" fillId="6" borderId="0" xfId="0" applyFont="1" applyFill="1" applyAlignment="1">
      <alignment horizontal="left"/>
    </xf>
    <xf numFmtId="4" fontId="23" fillId="9" borderId="0" xfId="0" applyNumberFormat="1" applyFont="1" applyFill="1"/>
    <xf numFmtId="0" fontId="14" fillId="9" borderId="0" xfId="0" applyFont="1" applyFill="1"/>
    <xf numFmtId="4" fontId="25" fillId="0" borderId="0" xfId="0" applyNumberFormat="1" applyFont="1" applyAlignment="1">
      <alignment horizontal="right"/>
    </xf>
    <xf numFmtId="4" fontId="11" fillId="0" borderId="0" xfId="0" applyNumberFormat="1" applyFont="1" applyAlignment="1">
      <alignment horizontal="right" vertical="center" wrapText="1"/>
    </xf>
    <xf numFmtId="4" fontId="25" fillId="0" borderId="0" xfId="0" applyNumberFormat="1" applyFont="1" applyAlignment="1">
      <alignment horizontal="left"/>
    </xf>
    <xf numFmtId="170" fontId="21" fillId="0" borderId="0" xfId="0" applyNumberFormat="1" applyFont="1"/>
    <xf numFmtId="10" fontId="11" fillId="0" borderId="0" xfId="1" applyNumberFormat="1" applyFont="1" applyBorder="1" applyProtection="1"/>
    <xf numFmtId="9" fontId="11" fillId="0" borderId="0" xfId="1" applyFont="1"/>
    <xf numFmtId="171" fontId="11" fillId="0" borderId="0" xfId="1" applyNumberFormat="1" applyFont="1" applyBorder="1" applyProtection="1"/>
    <xf numFmtId="171" fontId="11" fillId="0" borderId="0" xfId="1" applyNumberFormat="1" applyFont="1"/>
    <xf numFmtId="171" fontId="11" fillId="0" borderId="0" xfId="0" applyNumberFormat="1" applyFont="1"/>
    <xf numFmtId="172" fontId="11" fillId="0" borderId="0" xfId="0" applyNumberFormat="1" applyFont="1"/>
    <xf numFmtId="172" fontId="1" fillId="0" borderId="0" xfId="0" applyNumberFormat="1" applyFont="1"/>
  </cellXfs>
  <cellStyles count="2">
    <cellStyle name="Normal" xfId="0" builtinId="0"/>
    <cellStyle name="Percent" xfId="1" builtinId="5"/>
  </cellStyles>
  <dxfs count="31"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0" tint="-4.9989318521683403E-2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20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736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Chart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'FY 26-27E Projected'!$C$3:$L$3</c:f>
              <c:strCache>
                <c:ptCount val="10"/>
                <c:pt idx="0">
                  <c:v>As at  31st March 2021</c:v>
                </c:pt>
                <c:pt idx="1">
                  <c:v>As at  31st March 2022</c:v>
                </c:pt>
                <c:pt idx="2">
                  <c:v>As at  31st March 2023</c:v>
                </c:pt>
                <c:pt idx="3">
                  <c:v>As at  31st March 2024</c:v>
                </c:pt>
                <c:pt idx="4">
                  <c:v>As at  31st March 2025</c:v>
                </c:pt>
                <c:pt idx="5">
                  <c:v>As at  31st March 2026</c:v>
                </c:pt>
                <c:pt idx="6">
                  <c:v>As at 31 March 2027 E</c:v>
                </c:pt>
                <c:pt idx="7">
                  <c:v>As at 31 March 2028 E</c:v>
                </c:pt>
                <c:pt idx="8">
                  <c:v>As at 31 March 2029 E</c:v>
                </c:pt>
                <c:pt idx="9">
                  <c:v>As at 31 March 2030 E</c:v>
                </c:pt>
              </c:strCache>
            </c:strRef>
          </c:cat>
          <c:val>
            <c:numRef>
              <c:f>'FY 26-27E Projected'!$C$6:$L$6</c:f>
              <c:numCache>
                <c:formatCode>#,##0;\(#,##0\);\-</c:formatCode>
                <c:ptCount val="10"/>
                <c:pt idx="0">
                  <c:v>45996</c:v>
                </c:pt>
                <c:pt idx="1">
                  <c:v>51193</c:v>
                </c:pt>
                <c:pt idx="2">
                  <c:v>59144</c:v>
                </c:pt>
                <c:pt idx="3">
                  <c:v>60469</c:v>
                </c:pt>
                <c:pt idx="4">
                  <c:v>59676</c:v>
                </c:pt>
                <c:pt idx="5">
                  <c:v>61975</c:v>
                </c:pt>
                <c:pt idx="6">
                  <c:v>65893.255094945198</c:v>
                </c:pt>
                <c:pt idx="7">
                  <c:v>70059.234643122574</c:v>
                </c:pt>
                <c:pt idx="8">
                  <c:v>74488.600566291221</c:v>
                </c:pt>
                <c:pt idx="9">
                  <c:v>79198.00498233331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E5-4DBA-B038-3B1C248EE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622133160"/>
        <c:axId val="622134240"/>
      </c:lineChart>
      <c:catAx>
        <c:axId val="622133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134240"/>
        <c:crosses val="autoZero"/>
        <c:auto val="1"/>
        <c:lblAlgn val="ctr"/>
        <c:lblOffset val="100"/>
        <c:noMultiLvlLbl val="0"/>
      </c:catAx>
      <c:valAx>
        <c:axId val="622134240"/>
        <c:scaling>
          <c:orientation val="minMax"/>
        </c:scaling>
        <c:delete val="0"/>
        <c:axPos val="l"/>
        <c:numFmt formatCode="#,##0;\(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13316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'FY 26-27E Projected'!$C$3:$L$3</c:f>
              <c:strCache>
                <c:ptCount val="10"/>
                <c:pt idx="0">
                  <c:v>As at  31st March 2021</c:v>
                </c:pt>
                <c:pt idx="1">
                  <c:v>As at  31st March 2022</c:v>
                </c:pt>
                <c:pt idx="2">
                  <c:v>As at  31st March 2023</c:v>
                </c:pt>
                <c:pt idx="3">
                  <c:v>As at  31st March 2024</c:v>
                </c:pt>
                <c:pt idx="4">
                  <c:v>As at  31st March 2025</c:v>
                </c:pt>
                <c:pt idx="5">
                  <c:v>As at  31st March 2026</c:v>
                </c:pt>
                <c:pt idx="6">
                  <c:v>As at 31 March 2027 E</c:v>
                </c:pt>
                <c:pt idx="7">
                  <c:v>As at 31 March 2028 E</c:v>
                </c:pt>
                <c:pt idx="8">
                  <c:v>As at 31 March 2029 E</c:v>
                </c:pt>
                <c:pt idx="9">
                  <c:v>As at 31 March 2030 E</c:v>
                </c:pt>
              </c:strCache>
            </c:strRef>
          </c:cat>
          <c:val>
            <c:numRef>
              <c:f>'FY 26-27E Projected'!$C$25:$L$25</c:f>
              <c:numCache>
                <c:formatCode>#,##0;\(#,##0\);\-</c:formatCode>
                <c:ptCount val="10"/>
                <c:pt idx="0">
                  <c:v>11729</c:v>
                </c:pt>
                <c:pt idx="1">
                  <c:v>12798</c:v>
                </c:pt>
                <c:pt idx="2">
                  <c:v>14171</c:v>
                </c:pt>
                <c:pt idx="3">
                  <c:v>14861</c:v>
                </c:pt>
                <c:pt idx="4">
                  <c:v>14971</c:v>
                </c:pt>
                <c:pt idx="5">
                  <c:v>15060</c:v>
                </c:pt>
                <c:pt idx="6">
                  <c:v>16143.964776484201</c:v>
                </c:pt>
                <c:pt idx="7">
                  <c:v>17125.956179493282</c:v>
                </c:pt>
                <c:pt idx="8">
                  <c:v>18170.095401350722</c:v>
                </c:pt>
                <c:pt idx="9">
                  <c:v>19280.311623304497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4A-48FD-9EEB-26C33929EFA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'FY 26-27E Projected'!$C$3:$L$3</c:f>
              <c:strCache>
                <c:ptCount val="10"/>
                <c:pt idx="0">
                  <c:v>As at  31st March 2021</c:v>
                </c:pt>
                <c:pt idx="1">
                  <c:v>As at  31st March 2022</c:v>
                </c:pt>
                <c:pt idx="2">
                  <c:v>As at  31st March 2023</c:v>
                </c:pt>
                <c:pt idx="3">
                  <c:v>As at  31st March 2024</c:v>
                </c:pt>
                <c:pt idx="4">
                  <c:v>As at  31st March 2025</c:v>
                </c:pt>
                <c:pt idx="5">
                  <c:v>As at  31st March 2026</c:v>
                </c:pt>
                <c:pt idx="6">
                  <c:v>As at 31 March 2027 E</c:v>
                </c:pt>
                <c:pt idx="7">
                  <c:v>As at 31 March 2028 E</c:v>
                </c:pt>
                <c:pt idx="8">
                  <c:v>As at 31 March 2029 E</c:v>
                </c:pt>
                <c:pt idx="9">
                  <c:v>As at 31 March 2030 E</c:v>
                </c:pt>
              </c:strCache>
            </c:strRef>
          </c:cat>
          <c:val>
            <c:numRef>
              <c:f>'FY 26-27E Projected'!$C$26:$L$26</c:f>
              <c:numCache>
                <c:formatCode>#,##0;\(#,##0\);\-</c:formatCode>
                <c:ptCount val="10"/>
                <c:pt idx="0">
                  <c:v>24319</c:v>
                </c:pt>
                <c:pt idx="1">
                  <c:v>26069</c:v>
                </c:pt>
                <c:pt idx="2">
                  <c:v>28000</c:v>
                </c:pt>
                <c:pt idx="3">
                  <c:v>31142</c:v>
                </c:pt>
                <c:pt idx="4">
                  <c:v>30308</c:v>
                </c:pt>
                <c:pt idx="5">
                  <c:v>30891</c:v>
                </c:pt>
                <c:pt idx="6">
                  <c:v>32999.039759336083</c:v>
                </c:pt>
                <c:pt idx="7">
                  <c:v>35085.343198873285</c:v>
                </c:pt>
                <c:pt idx="8">
                  <c:v>37303.549326293796</c:v>
                </c:pt>
                <c:pt idx="9">
                  <c:v>39661.997445814413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4A-48FD-9EEB-26C33929E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6443344"/>
        <c:axId val="626446224"/>
      </c:barChart>
      <c:catAx>
        <c:axId val="626443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446224"/>
        <c:crosses val="autoZero"/>
        <c:auto val="1"/>
        <c:lblAlgn val="ctr"/>
        <c:lblOffset val="100"/>
        <c:noMultiLvlLbl val="0"/>
      </c:catAx>
      <c:valAx>
        <c:axId val="626446224"/>
        <c:scaling>
          <c:orientation val="minMax"/>
        </c:scaling>
        <c:delete val="0"/>
        <c:axPos val="l"/>
        <c:numFmt formatCode="#,##0;\(#,##0\);\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443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Profitability Margin Trend (FY21–FY30)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'DAS DATA'!$B$1</c:f>
              <c:strCache>
                <c:ptCount val="1"/>
                <c:pt idx="0">
                  <c:v>Gross Margin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'DAS DATA'!$A$2:$A$11</c:f>
              <c:strCache>
                <c:ptCount val="10"/>
                <c:pt idx="0">
                  <c:v>FY20-21</c:v>
                </c:pt>
                <c:pt idx="1">
                  <c:v>FY21-22</c:v>
                </c:pt>
                <c:pt idx="2">
                  <c:v>FY22-23</c:v>
                </c:pt>
                <c:pt idx="3">
                  <c:v>FY23-24</c:v>
                </c:pt>
                <c:pt idx="4">
                  <c:v>FY24-25</c:v>
                </c:pt>
                <c:pt idx="5">
                  <c:v>FY25-26A</c:v>
                </c:pt>
                <c:pt idx="6">
                  <c:v>FY26-27E</c:v>
                </c:pt>
                <c:pt idx="7">
                  <c:v>FY27-28E</c:v>
                </c:pt>
                <c:pt idx="8">
                  <c:v>FY28-29E</c:v>
                </c:pt>
                <c:pt idx="9">
                  <c:v>FY29-30E</c:v>
                </c:pt>
              </c:strCache>
            </c:strRef>
          </c:cat>
          <c:val>
            <c:numRef>
              <c:f>'DAS DATA'!$B$2:$B$11</c:f>
              <c:numCache>
                <c:formatCode>0.00%</c:formatCode>
                <c:ptCount val="10"/>
                <c:pt idx="0">
                  <c:v>0.52871988868597264</c:v>
                </c:pt>
                <c:pt idx="1">
                  <c:v>0.50922977750864373</c:v>
                </c:pt>
                <c:pt idx="2">
                  <c:v>0.47342080346273502</c:v>
                </c:pt>
                <c:pt idx="3">
                  <c:v>0.51500768989068779</c:v>
                </c:pt>
                <c:pt idx="4">
                  <c:v>0.50787586299349818</c:v>
                </c:pt>
                <c:pt idx="5">
                  <c:v>0.49844292053247274</c:v>
                </c:pt>
                <c:pt idx="6">
                  <c:v>0.50079541087760748</c:v>
                </c:pt>
                <c:pt idx="7">
                  <c:v>0.50079541087760748</c:v>
                </c:pt>
                <c:pt idx="8">
                  <c:v>0.50079541087760748</c:v>
                </c:pt>
                <c:pt idx="9">
                  <c:v>0.50079541087760748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14-40D9-B50D-AED603761BE1}"/>
            </c:ext>
          </c:extLst>
        </c:ser>
        <c:ser>
          <c:idx val="1"/>
          <c:order val="1"/>
          <c:tx>
            <c:strRef>
              <c:f>'DAS DATA'!$C$1</c:f>
              <c:strCache>
                <c:ptCount val="1"/>
                <c:pt idx="0">
                  <c:v>EBITDA Margin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'DAS DATA'!$A$2:$A$11</c:f>
              <c:strCache>
                <c:ptCount val="10"/>
                <c:pt idx="0">
                  <c:v>FY20-21</c:v>
                </c:pt>
                <c:pt idx="1">
                  <c:v>FY21-22</c:v>
                </c:pt>
                <c:pt idx="2">
                  <c:v>FY22-23</c:v>
                </c:pt>
                <c:pt idx="3">
                  <c:v>FY23-24</c:v>
                </c:pt>
                <c:pt idx="4">
                  <c:v>FY24-25</c:v>
                </c:pt>
                <c:pt idx="5">
                  <c:v>FY25-26A</c:v>
                </c:pt>
                <c:pt idx="6">
                  <c:v>FY26-27E</c:v>
                </c:pt>
                <c:pt idx="7">
                  <c:v>FY27-28E</c:v>
                </c:pt>
                <c:pt idx="8">
                  <c:v>FY28-29E</c:v>
                </c:pt>
                <c:pt idx="9">
                  <c:v>FY29-30E</c:v>
                </c:pt>
              </c:strCache>
            </c:strRef>
          </c:cat>
          <c:val>
            <c:numRef>
              <c:f>'DAS DATA'!$C$2:$C$11</c:f>
              <c:numCache>
                <c:formatCode>0%</c:formatCode>
                <c:ptCount val="10"/>
                <c:pt idx="0">
                  <c:v>0.25500043482041918</c:v>
                </c:pt>
                <c:pt idx="1">
                  <c:v>0.24999511651983669</c:v>
                </c:pt>
                <c:pt idx="2">
                  <c:v>0.23960165020965779</c:v>
                </c:pt>
                <c:pt idx="3">
                  <c:v>0.24576229142205097</c:v>
                </c:pt>
                <c:pt idx="4">
                  <c:v>0.2508713720758764</c:v>
                </c:pt>
                <c:pt idx="5">
                  <c:v>0.24300121016538928</c:v>
                </c:pt>
                <c:pt idx="6">
                  <c:v>0.2450017798213559</c:v>
                </c:pt>
                <c:pt idx="7">
                  <c:v>0.24444966130063864</c:v>
                </c:pt>
                <c:pt idx="8">
                  <c:v>0.24393122253894706</c:v>
                </c:pt>
                <c:pt idx="9">
                  <c:v>0.24344441034348471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14-40D9-B50D-AED603761BE1}"/>
            </c:ext>
          </c:extLst>
        </c:ser>
        <c:ser>
          <c:idx val="2"/>
          <c:order val="2"/>
          <c:tx>
            <c:strRef>
              <c:f>'DAS DATA'!$D$1</c:f>
              <c:strCache>
                <c:ptCount val="1"/>
                <c:pt idx="0">
                  <c:v>Net Profit Margin 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'DAS DATA'!$A$2:$A$11</c:f>
              <c:strCache>
                <c:ptCount val="10"/>
                <c:pt idx="0">
                  <c:v>FY20-21</c:v>
                </c:pt>
                <c:pt idx="1">
                  <c:v>FY21-22</c:v>
                </c:pt>
                <c:pt idx="2">
                  <c:v>FY22-23</c:v>
                </c:pt>
                <c:pt idx="3">
                  <c:v>FY23-24</c:v>
                </c:pt>
                <c:pt idx="4">
                  <c:v>FY24-25</c:v>
                </c:pt>
                <c:pt idx="5">
                  <c:v>FY25-26A</c:v>
                </c:pt>
                <c:pt idx="6">
                  <c:v>FY26-27E</c:v>
                </c:pt>
                <c:pt idx="7">
                  <c:v>FY27-28E</c:v>
                </c:pt>
                <c:pt idx="8">
                  <c:v>FY28-29E</c:v>
                </c:pt>
                <c:pt idx="9">
                  <c:v>FY29-30E</c:v>
                </c:pt>
              </c:strCache>
            </c:strRef>
          </c:cat>
          <c:val>
            <c:numRef>
              <c:f>'DAS DATA'!$D$2:$D$11</c:f>
              <c:numCache>
                <c:formatCode>0.00%</c:formatCode>
                <c:ptCount val="10"/>
                <c:pt idx="0">
                  <c:v>0.1729280807026698</c:v>
                </c:pt>
                <c:pt idx="1">
                  <c:v>0.17225011232004375</c:v>
                </c:pt>
                <c:pt idx="2">
                  <c:v>0.16843635871770593</c:v>
                </c:pt>
                <c:pt idx="3">
                  <c:v>0.16725925680927417</c:v>
                </c:pt>
                <c:pt idx="4">
                  <c:v>0.17851397546752462</c:v>
                </c:pt>
                <c:pt idx="5">
                  <c:v>0.17781363453005244</c:v>
                </c:pt>
                <c:pt idx="6">
                  <c:v>0.17020319704981521</c:v>
                </c:pt>
                <c:pt idx="7">
                  <c:v>0.16934556908170592</c:v>
                </c:pt>
                <c:pt idx="8">
                  <c:v>0.16851339901704551</c:v>
                </c:pt>
                <c:pt idx="9">
                  <c:v>0.16770513488558578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14-40D9-B50D-AED603761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6442264"/>
        <c:axId val="626450904"/>
      </c:lineChart>
      <c:catAx>
        <c:axId val="626442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450904"/>
        <c:crosses val="autoZero"/>
        <c:auto val="1"/>
        <c:lblAlgn val="ctr"/>
        <c:lblOffset val="100"/>
        <c:noMultiLvlLbl val="0"/>
      </c:catAx>
      <c:valAx>
        <c:axId val="626450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442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/>
              <a:t>Cash Flow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 DATA'!$H$1</c:f>
              <c:strCache>
                <c:ptCount val="1"/>
                <c:pt idx="0">
                  <c:v>Operating CF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'DAS DATA'!$G$2:$G$11</c:f>
              <c:strCache>
                <c:ptCount val="10"/>
                <c:pt idx="0">
                  <c:v>FY21</c:v>
                </c:pt>
                <c:pt idx="1">
                  <c:v>FY22</c:v>
                </c:pt>
                <c:pt idx="2">
                  <c:v>FY23</c:v>
                </c:pt>
                <c:pt idx="3">
                  <c:v>FY24</c:v>
                </c:pt>
                <c:pt idx="4">
                  <c:v>FY25</c:v>
                </c:pt>
                <c:pt idx="5">
                  <c:v>FY26</c:v>
                </c:pt>
                <c:pt idx="6">
                  <c:v>FY27E</c:v>
                </c:pt>
                <c:pt idx="7">
                  <c:v>FY28E</c:v>
                </c:pt>
                <c:pt idx="8">
                  <c:v>FY29E</c:v>
                </c:pt>
                <c:pt idx="9">
                  <c:v>FY30E</c:v>
                </c:pt>
              </c:strCache>
            </c:strRef>
          </c:cat>
          <c:val>
            <c:numRef>
              <c:f>'DAS DATA'!$H$2:$H$11</c:f>
              <c:numCache>
                <c:formatCode>0.0</c:formatCode>
                <c:ptCount val="10"/>
                <c:pt idx="0">
                  <c:v>8957</c:v>
                </c:pt>
                <c:pt idx="1">
                  <c:v>8964</c:v>
                </c:pt>
                <c:pt idx="2">
                  <c:v>9626</c:v>
                </c:pt>
                <c:pt idx="3">
                  <c:v>14884</c:v>
                </c:pt>
                <c:pt idx="4">
                  <c:v>11606</c:v>
                </c:pt>
                <c:pt idx="5">
                  <c:v>10496</c:v>
                </c:pt>
                <c:pt idx="6">
                  <c:v>13012.447932648753</c:v>
                </c:pt>
                <c:pt idx="7">
                  <c:v>14365.711211624041</c:v>
                </c:pt>
                <c:pt idx="8">
                  <c:v>15299.179057513744</c:v>
                </c:pt>
                <c:pt idx="9">
                  <c:v>16295.151618787735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59-47A9-837C-CF4EE87A35F5}"/>
            </c:ext>
          </c:extLst>
        </c:ser>
        <c:ser>
          <c:idx val="1"/>
          <c:order val="1"/>
          <c:tx>
            <c:strRef>
              <c:f>'DAS DATA'!$I$1</c:f>
              <c:strCache>
                <c:ptCount val="1"/>
                <c:pt idx="0">
                  <c:v>Investing CF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'DAS DATA'!$G$2:$G$11</c:f>
              <c:strCache>
                <c:ptCount val="10"/>
                <c:pt idx="0">
                  <c:v>FY21</c:v>
                </c:pt>
                <c:pt idx="1">
                  <c:v>FY22</c:v>
                </c:pt>
                <c:pt idx="2">
                  <c:v>FY23</c:v>
                </c:pt>
                <c:pt idx="3">
                  <c:v>FY24</c:v>
                </c:pt>
                <c:pt idx="4">
                  <c:v>FY25</c:v>
                </c:pt>
                <c:pt idx="5">
                  <c:v>FY26</c:v>
                </c:pt>
                <c:pt idx="6">
                  <c:v>FY27E</c:v>
                </c:pt>
                <c:pt idx="7">
                  <c:v>FY28E</c:v>
                </c:pt>
                <c:pt idx="8">
                  <c:v>FY29E</c:v>
                </c:pt>
                <c:pt idx="9">
                  <c:v>FY30E</c:v>
                </c:pt>
              </c:strCache>
            </c:strRef>
          </c:cat>
          <c:val>
            <c:numRef>
              <c:f>'DAS DATA'!$I$2:$I$11</c:f>
              <c:numCache>
                <c:formatCode>#,##0.0;\(#,##0.0\)</c:formatCode>
                <c:ptCount val="10"/>
                <c:pt idx="0">
                  <c:v>-1367</c:v>
                </c:pt>
                <c:pt idx="1">
                  <c:v>-1732</c:v>
                </c:pt>
                <c:pt idx="2">
                  <c:v>-1062</c:v>
                </c:pt>
                <c:pt idx="3">
                  <c:v>-4971</c:v>
                </c:pt>
                <c:pt idx="4">
                  <c:v>6763</c:v>
                </c:pt>
                <c:pt idx="5">
                  <c:v>-3473</c:v>
                </c:pt>
                <c:pt idx="6">
                  <c:v>-1247.1495286239665</c:v>
                </c:pt>
                <c:pt idx="7">
                  <c:v>-1325.9982578646179</c:v>
                </c:pt>
                <c:pt idx="8">
                  <c:v>-1409.8320526168004</c:v>
                </c:pt>
                <c:pt idx="9">
                  <c:v>-1498.9660844551679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59-47A9-837C-CF4EE87A35F5}"/>
            </c:ext>
          </c:extLst>
        </c:ser>
        <c:ser>
          <c:idx val="2"/>
          <c:order val="2"/>
          <c:tx>
            <c:strRef>
              <c:f>'DAS DATA'!$J$1</c:f>
              <c:strCache>
                <c:ptCount val="1"/>
                <c:pt idx="0">
                  <c:v>Financing CF</c:v>
                </c:pt>
              </c:strCache>
            </c:strRef>
          </c:tx>
          <c:spPr>
            <a:gradFill flip="none" rotWithShape="1">
              <a:gsLst>
                <a:gs pos="0">
                  <a:schemeClr val="accent3"/>
                </a:gs>
                <a:gs pos="75000">
                  <a:schemeClr val="accent3">
                    <a:lumMod val="60000"/>
                    <a:lumOff val="40000"/>
                  </a:schemeClr>
                </a:gs>
                <a:gs pos="51000">
                  <a:schemeClr val="accent3">
                    <a:alpha val="75000"/>
                  </a:schemeClr>
                </a:gs>
                <a:gs pos="100000">
                  <a:schemeClr val="accent3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'DAS DATA'!$G$2:$G$11</c:f>
              <c:strCache>
                <c:ptCount val="10"/>
                <c:pt idx="0">
                  <c:v>FY21</c:v>
                </c:pt>
                <c:pt idx="1">
                  <c:v>FY22</c:v>
                </c:pt>
                <c:pt idx="2">
                  <c:v>FY23</c:v>
                </c:pt>
                <c:pt idx="3">
                  <c:v>FY24</c:v>
                </c:pt>
                <c:pt idx="4">
                  <c:v>FY25</c:v>
                </c:pt>
                <c:pt idx="5">
                  <c:v>FY26</c:v>
                </c:pt>
                <c:pt idx="6">
                  <c:v>FY27E</c:v>
                </c:pt>
                <c:pt idx="7">
                  <c:v>FY28E</c:v>
                </c:pt>
                <c:pt idx="8">
                  <c:v>FY29E</c:v>
                </c:pt>
                <c:pt idx="9">
                  <c:v>FY30E</c:v>
                </c:pt>
              </c:strCache>
            </c:strRef>
          </c:cat>
          <c:val>
            <c:numRef>
              <c:f>'DAS DATA'!$J$2:$J$11</c:f>
              <c:numCache>
                <c:formatCode>#,##0.0;\(#,##0.0\)</c:formatCode>
                <c:ptCount val="10"/>
                <c:pt idx="0">
                  <c:v>-9280</c:v>
                </c:pt>
                <c:pt idx="1">
                  <c:v>-7984</c:v>
                </c:pt>
                <c:pt idx="2">
                  <c:v>-8966</c:v>
                </c:pt>
                <c:pt idx="3">
                  <c:v>-9890</c:v>
                </c:pt>
                <c:pt idx="4">
                  <c:v>-13031</c:v>
                </c:pt>
                <c:pt idx="5">
                  <c:v>-10684</c:v>
                </c:pt>
                <c:pt idx="6">
                  <c:v>-9947.3849104295805</c:v>
                </c:pt>
                <c:pt idx="7">
                  <c:v>-10522.997665511319</c:v>
                </c:pt>
                <c:pt idx="8">
                  <c:v>-11133.315115903089</c:v>
                </c:pt>
                <c:pt idx="9">
                  <c:v>-11780.42204194091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59-47A9-837C-CF4EE87A3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626447664"/>
        <c:axId val="626455224"/>
      </c:barChart>
      <c:catAx>
        <c:axId val="626447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455224"/>
        <c:crosses val="autoZero"/>
        <c:auto val="1"/>
        <c:lblAlgn val="ctr"/>
        <c:lblOffset val="100"/>
        <c:noMultiLvlLbl val="0"/>
      </c:catAx>
      <c:valAx>
        <c:axId val="6264552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447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600" b="1" i="0" u="none" strike="noStrike" normalizeH="0" baseline="0"/>
              <a:t>Asset Mix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'DAS DATA'!$M$1</c:f>
              <c:strCache>
                <c:ptCount val="1"/>
                <c:pt idx="0">
                  <c:v>FY25-26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3B1-4C11-8346-FD4B040BDE28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3B1-4C11-8346-FD4B040BDE28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3B1-4C11-8346-FD4B040BDE28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3B1-4C11-8346-FD4B040BDE28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3B1-4C11-8346-FD4B040BDE28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3B1-4C11-8346-FD4B040BDE28}"/>
              </c:ext>
            </c:extLst>
          </c:dPt>
          <c:dLbls>
            <c:dLbl>
              <c:idx val="0"/>
              <c:layout>
                <c:manualLayout>
                  <c:x val="0.1"/>
                  <c:y val="-1.851851851851853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3B1-4C11-8346-FD4B040BDE28}"/>
                </c:ext>
              </c:extLst>
            </c:dLbl>
            <c:dLbl>
              <c:idx val="1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3B1-4C11-8346-FD4B040BDE28}"/>
                </c:ext>
              </c:extLst>
            </c:dLbl>
            <c:dLbl>
              <c:idx val="2"/>
              <c:layout>
                <c:manualLayout>
                  <c:x val="4.7222222222222221E-2"/>
                  <c:y val="2.314814814814814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3B1-4C11-8346-FD4B040BDE28}"/>
                </c:ext>
              </c:extLst>
            </c:dLbl>
            <c:dLbl>
              <c:idx val="3"/>
              <c:layout>
                <c:manualLayout>
                  <c:x val="-3.8888888888888938E-2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3B1-4C11-8346-FD4B040BDE28}"/>
                </c:ext>
              </c:extLst>
            </c:dLbl>
            <c:dLbl>
              <c:idx val="4"/>
              <c:layout>
                <c:manualLayout>
                  <c:x val="-5.0000000000000051E-2"/>
                  <c:y val="-4.6296296296296719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3B1-4C11-8346-FD4B040BDE28}"/>
                </c:ext>
              </c:extLst>
            </c:dLbl>
            <c:dLbl>
              <c:idx val="5"/>
              <c:layout>
                <c:manualLayout>
                  <c:x val="-4.166666666666672E-2"/>
                  <c:y val="-2.777777777777777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3B1-4C11-8346-FD4B040BDE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'DAS DATA'!$L$2:$L$7</c:f>
              <c:strCache>
                <c:ptCount val="6"/>
                <c:pt idx="0">
                  <c:v>Cash &amp; Cash Equivalents</c:v>
                </c:pt>
                <c:pt idx="1">
                  <c:v>Trade Receivables</c:v>
                </c:pt>
                <c:pt idx="2">
                  <c:v>Inventories</c:v>
                </c:pt>
                <c:pt idx="3">
                  <c:v>Other Current Assets</c:v>
                </c:pt>
                <c:pt idx="4">
                  <c:v>Property, Plant &amp; Equipment (PPE)</c:v>
                </c:pt>
                <c:pt idx="5">
                  <c:v>Other Non-Current Assets</c:v>
                </c:pt>
              </c:strCache>
            </c:strRef>
          </c:cat>
          <c:val>
            <c:numRef>
              <c:f>'DAS DATA'!$M$2:$M$7</c:f>
              <c:numCache>
                <c:formatCode>#,##0.00</c:formatCode>
                <c:ptCount val="6"/>
                <c:pt idx="0">
                  <c:v>2286</c:v>
                </c:pt>
                <c:pt idx="1">
                  <c:v>3037</c:v>
                </c:pt>
                <c:pt idx="2">
                  <c:v>4383</c:v>
                </c:pt>
                <c:pt idx="3">
                  <c:v>985</c:v>
                </c:pt>
                <c:pt idx="4">
                  <c:v>7191</c:v>
                </c:pt>
                <c:pt idx="5">
                  <c:v>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3B1-4C11-8346-FD4B040BDE2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Key Financial Ratios (FY25-26A)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'DAS DATA'!$B$14</c:f>
              <c:strCache>
                <c:ptCount val="1"/>
                <c:pt idx="0">
                  <c:v>Source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 DATA'!$A$15:$A$22</c:f>
              <c:strCache>
                <c:ptCount val="8"/>
                <c:pt idx="0">
                  <c:v>Current Ratio</c:v>
                </c:pt>
                <c:pt idx="1">
                  <c:v>Quick Ratio</c:v>
                </c:pt>
                <c:pt idx="2">
                  <c:v>Debt to Equity</c:v>
                </c:pt>
                <c:pt idx="3">
                  <c:v>ROE</c:v>
                </c:pt>
                <c:pt idx="4">
                  <c:v>ROA</c:v>
                </c:pt>
                <c:pt idx="5">
                  <c:v>Gross Margin</c:v>
                </c:pt>
                <c:pt idx="6">
                  <c:v>EBITDA Margin</c:v>
                </c:pt>
                <c:pt idx="7">
                  <c:v>Net Profit Margin</c:v>
                </c:pt>
              </c:strCache>
            </c:strRef>
          </c:cat>
          <c:val>
            <c:numRef>
              <c:f>'DAS DATA'!$B$15:$B$22</c:f>
              <c:numCache>
                <c:formatCode>0.0%</c:formatCode>
                <c:ptCount val="8"/>
                <c:pt idx="0">
                  <c:v>1.1729881597431266</c:v>
                </c:pt>
                <c:pt idx="1">
                  <c:v>0.87979129038731685</c:v>
                </c:pt>
                <c:pt idx="2">
                  <c:v>0.58425939093513191</c:v>
                </c:pt>
                <c:pt idx="3">
                  <c:v>0.22387908091745728</c:v>
                </c:pt>
                <c:pt idx="4">
                  <c:v>0.14131466235798004</c:v>
                </c:pt>
                <c:pt idx="5">
                  <c:v>0.49844292053247274</c:v>
                </c:pt>
                <c:pt idx="6">
                  <c:v>0.24300121016538928</c:v>
                </c:pt>
                <c:pt idx="7">
                  <c:v>0.17781363453005244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B9-4674-A4EF-908D0B9C2F8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33868480"/>
        <c:axId val="633864520"/>
      </c:barChart>
      <c:catAx>
        <c:axId val="633868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864520"/>
        <c:crosses val="autoZero"/>
        <c:auto val="1"/>
        <c:lblAlgn val="ctr"/>
        <c:lblOffset val="100"/>
        <c:noMultiLvlLbl val="0"/>
      </c:catAx>
      <c:valAx>
        <c:axId val="633864520"/>
        <c:scaling>
          <c:orientation val="minMax"/>
        </c:scaling>
        <c:delete val="0"/>
        <c:axPos val="b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8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Historical vs Forecast Revenue (FY21–FY30)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'DAS DATA'!$E$14</c:f>
              <c:strCache>
                <c:ptCount val="1"/>
                <c:pt idx="0">
                  <c:v>Historical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 DATA'!$D$15:$D$24</c:f>
              <c:strCache>
                <c:ptCount val="10"/>
                <c:pt idx="0">
                  <c:v>FY20-21</c:v>
                </c:pt>
                <c:pt idx="1">
                  <c:v>FY21-22</c:v>
                </c:pt>
                <c:pt idx="2">
                  <c:v>FY22-23</c:v>
                </c:pt>
                <c:pt idx="3">
                  <c:v>FY23-24</c:v>
                </c:pt>
                <c:pt idx="4">
                  <c:v>FY24-25</c:v>
                </c:pt>
                <c:pt idx="5">
                  <c:v>FY25-26A</c:v>
                </c:pt>
                <c:pt idx="6">
                  <c:v>FY26-27E</c:v>
                </c:pt>
                <c:pt idx="7">
                  <c:v>FY27-28E</c:v>
                </c:pt>
                <c:pt idx="8">
                  <c:v>FY28-29E</c:v>
                </c:pt>
                <c:pt idx="9">
                  <c:v>FY29-30E</c:v>
                </c:pt>
              </c:strCache>
            </c:strRef>
          </c:cat>
          <c:val>
            <c:numRef>
              <c:f>'DAS DATA'!$E$15:$E$24</c:f>
              <c:numCache>
                <c:formatCode>#,##0</c:formatCode>
                <c:ptCount val="10"/>
                <c:pt idx="0">
                  <c:v>45996</c:v>
                </c:pt>
                <c:pt idx="1">
                  <c:v>51193</c:v>
                </c:pt>
                <c:pt idx="2">
                  <c:v>59144</c:v>
                </c:pt>
                <c:pt idx="3">
                  <c:v>60469</c:v>
                </c:pt>
                <c:pt idx="4">
                  <c:v>59676</c:v>
                </c:pt>
                <c:pt idx="5">
                  <c:v>61975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D4-4A9F-9B6B-3EC886C7DF8D}"/>
            </c:ext>
          </c:extLst>
        </c:ser>
        <c:ser>
          <c:idx val="1"/>
          <c:order val="1"/>
          <c:tx>
            <c:strRef>
              <c:f>'DAS DATA'!$F$14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 DATA'!$D$15:$D$24</c:f>
              <c:strCache>
                <c:ptCount val="10"/>
                <c:pt idx="0">
                  <c:v>FY20-21</c:v>
                </c:pt>
                <c:pt idx="1">
                  <c:v>FY21-22</c:v>
                </c:pt>
                <c:pt idx="2">
                  <c:v>FY22-23</c:v>
                </c:pt>
                <c:pt idx="3">
                  <c:v>FY23-24</c:v>
                </c:pt>
                <c:pt idx="4">
                  <c:v>FY24-25</c:v>
                </c:pt>
                <c:pt idx="5">
                  <c:v>FY25-26A</c:v>
                </c:pt>
                <c:pt idx="6">
                  <c:v>FY26-27E</c:v>
                </c:pt>
                <c:pt idx="7">
                  <c:v>FY27-28E</c:v>
                </c:pt>
                <c:pt idx="8">
                  <c:v>FY28-29E</c:v>
                </c:pt>
                <c:pt idx="9">
                  <c:v>FY29-30E</c:v>
                </c:pt>
              </c:strCache>
            </c:strRef>
          </c:cat>
          <c:val>
            <c:numRef>
              <c:f>'DAS DATA'!$F$15:$F$24</c:f>
              <c:numCache>
                <c:formatCode>General</c:formatCode>
                <c:ptCount val="10"/>
                <c:pt idx="6" formatCode="#,##0">
                  <c:v>65893.255094945198</c:v>
                </c:pt>
                <c:pt idx="7" formatCode="#,##0">
                  <c:v>70059.234643122574</c:v>
                </c:pt>
                <c:pt idx="8" formatCode="#,##0">
                  <c:v>74488.600566291221</c:v>
                </c:pt>
                <c:pt idx="9" formatCode="#,##0">
                  <c:v>79198.00498233331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D4-4A9F-9B6B-3EC886C7DF8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26453424"/>
        <c:axId val="626454144"/>
      </c:lineChart>
      <c:catAx>
        <c:axId val="62645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454144"/>
        <c:crosses val="autoZero"/>
        <c:auto val="1"/>
        <c:lblAlgn val="ctr"/>
        <c:lblOffset val="100"/>
        <c:noMultiLvlLbl val="0"/>
      </c:catAx>
      <c:valAx>
        <c:axId val="626454144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453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Liability Composition (FY25-26A)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'DAS DATA'!$I$14</c:f>
              <c:strCache>
                <c:ptCount val="1"/>
                <c:pt idx="0">
                  <c:v>FY25-26A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71D-49BB-B3CA-CA6498978E5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71D-49BB-B3CA-CA6498978E5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71D-49BB-B3CA-CA6498978E5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71D-49BB-B3CA-CA6498978E57}"/>
              </c:ext>
            </c:extLst>
          </c:dPt>
          <c:dLbls>
            <c:dLbl>
              <c:idx val="1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187510936132983"/>
                      <c:h val="0.1664585156022163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B71D-49BB-B3CA-CA6498978E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'DAS DATA'!$H$15:$H$18</c:f>
              <c:strCache>
                <c:ptCount val="4"/>
                <c:pt idx="0">
                  <c:v>Current Liabilities</c:v>
                </c:pt>
                <c:pt idx="1">
                  <c:v>Non-Current Liabilities</c:v>
                </c:pt>
                <c:pt idx="2">
                  <c:v>Share Capital</c:v>
                </c:pt>
                <c:pt idx="3">
                  <c:v>Other Equity (Reserves)</c:v>
                </c:pt>
              </c:strCache>
            </c:strRef>
          </c:cat>
          <c:val>
            <c:numRef>
              <c:f>'DAS DATA'!$I$15:$I$18</c:f>
              <c:numCache>
                <c:formatCode>#,##0.00</c:formatCode>
                <c:ptCount val="4"/>
                <c:pt idx="0">
                  <c:v>14949</c:v>
                </c:pt>
                <c:pt idx="1">
                  <c:v>13810</c:v>
                </c:pt>
                <c:pt idx="2">
                  <c:v>235</c:v>
                </c:pt>
                <c:pt idx="3">
                  <c:v>48988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71D-49BB-B3CA-CA6498978E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1</xdr:row>
      <xdr:rowOff>123825</xdr:rowOff>
    </xdr:from>
    <xdr:to>
      <xdr:col>7</xdr:col>
      <xdr:colOff>95250</xdr:colOff>
      <xdr:row>16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4CAC1F-7173-454B-9907-56F35A1293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</xdr:row>
      <xdr:rowOff>123825</xdr:rowOff>
    </xdr:from>
    <xdr:to>
      <xdr:col>15</xdr:col>
      <xdr:colOff>304800</xdr:colOff>
      <xdr:row>16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BF94B58-50E1-490C-BBB3-213A723C82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276225</xdr:colOff>
      <xdr:row>17</xdr:row>
      <xdr:rowOff>47625</xdr:rowOff>
    </xdr:from>
    <xdr:to>
      <xdr:col>7</xdr:col>
      <xdr:colOff>95250</xdr:colOff>
      <xdr:row>31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9C24638-1B17-4030-9BA5-DFA9645914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9525</xdr:colOff>
      <xdr:row>17</xdr:row>
      <xdr:rowOff>57150</xdr:rowOff>
    </xdr:from>
    <xdr:to>
      <xdr:col>15</xdr:col>
      <xdr:colOff>314325</xdr:colOff>
      <xdr:row>31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2521B0A-7BD4-44E2-9884-E5D6915AD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276225</xdr:colOff>
      <xdr:row>32</xdr:row>
      <xdr:rowOff>142875</xdr:rowOff>
    </xdr:from>
    <xdr:to>
      <xdr:col>7</xdr:col>
      <xdr:colOff>95250</xdr:colOff>
      <xdr:row>47</xdr:row>
      <xdr:rowOff>161925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C48370C-C81D-4F2C-9FF1-F39814BC4A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28575</xdr:colOff>
      <xdr:row>49</xdr:row>
      <xdr:rowOff>57149</xdr:rowOff>
    </xdr:from>
    <xdr:to>
      <xdr:col>15</xdr:col>
      <xdr:colOff>333375</xdr:colOff>
      <xdr:row>64</xdr:row>
      <xdr:rowOff>57149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5467A8E-88CB-41E9-9183-11F34C863D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257175</xdr:colOff>
      <xdr:row>49</xdr:row>
      <xdr:rowOff>38100</xdr:rowOff>
    </xdr:from>
    <xdr:to>
      <xdr:col>7</xdr:col>
      <xdr:colOff>76200</xdr:colOff>
      <xdr:row>64</xdr:row>
      <xdr:rowOff>66675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D85C364-9367-40AB-956D-8133F3CC94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19050</xdr:colOff>
      <xdr:row>32</xdr:row>
      <xdr:rowOff>142875</xdr:rowOff>
    </xdr:from>
    <xdr:to>
      <xdr:col>15</xdr:col>
      <xdr:colOff>323850</xdr:colOff>
      <xdr:row>47</xdr:row>
      <xdr:rowOff>171450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75FD165-A6F3-4690-A309-763146CA16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4" displayName="Table4" ref="B4:H29" totalsRowShown="0" dataDxfId="0">
  <autoFilter ref="B4:H29" xr:uid="{00000000-0009-0000-0100-000003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00000000-0010-0000-0000-000001000000}" name="Particulars" dataDxfId="7"/>
    <tableColumn id="2" xr3:uid="{00000000-0010-0000-0000-000002000000}" name="As at  31st March 2021" dataDxfId="6"/>
    <tableColumn id="3" xr3:uid="{00000000-0010-0000-0000-000003000000}" name="As at  31st March 2022" dataDxfId="5"/>
    <tableColumn id="4" xr3:uid="{00000000-0010-0000-0000-000004000000}" name="As at  31st March 2023" dataDxfId="4"/>
    <tableColumn id="5" xr3:uid="{00000000-0010-0000-0000-000005000000}" name="As at  31st March 2024" dataDxfId="3"/>
    <tableColumn id="6" xr3:uid="{00000000-0010-0000-0000-000006000000}" name="As at  31st March 2025" dataDxfId="2"/>
    <tableColumn id="7" xr3:uid="{00000000-0010-0000-0000-000007000000}" name="As at  31st March 2026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3" displayName="Table3" ref="A5:K33" totalsRowShown="0" headerRowDxfId="18" dataDxfId="21">
  <autoFilter ref="A5:K33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00000000-0010-0000-0100-000001000000}" name="Particulars" dataDxfId="20"/>
    <tableColumn id="2" xr3:uid="{00000000-0010-0000-0100-000002000000}" name="As at  31st March 2021" dataDxfId="19"/>
    <tableColumn id="3" xr3:uid="{00000000-0010-0000-0100-000003000000}" name="As at  31st March 2022" dataDxfId="30"/>
    <tableColumn id="4" xr3:uid="{00000000-0010-0000-0100-000004000000}" name="As at  31st March 2023" dataDxfId="29"/>
    <tableColumn id="5" xr3:uid="{00000000-0010-0000-0100-000005000000}" name="As at  31st March 2024" dataDxfId="28"/>
    <tableColumn id="6" xr3:uid="{00000000-0010-0000-0100-000006000000}" name="As at  31st March 2025" dataDxfId="27"/>
    <tableColumn id="7" xr3:uid="{00000000-0010-0000-0100-000007000000}" name="As at  31st March 2026" dataDxfId="26"/>
    <tableColumn id="8" xr3:uid="{00000000-0010-0000-0100-000008000000}" name="As at 31 March 2027 E" dataDxfId="25"/>
    <tableColumn id="9" xr3:uid="{00000000-0010-0000-0100-000009000000}" name="As at 31 March 2028 E" dataDxfId="24"/>
    <tableColumn id="10" xr3:uid="{00000000-0010-0000-0100-00000A000000}" name="As at 31 March 2029 E" dataDxfId="23"/>
    <tableColumn id="11" xr3:uid="{00000000-0010-0000-0100-00000B000000}" name="As at 31 March 2030 E" dataDxfId="2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2" displayName="Table2" ref="A3:H76" totalsRowShown="0" headerRowDxfId="9" dataDxfId="8">
  <autoFilter ref="A3:H76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200-000001000000}" name="Particulars" dataDxfId="17"/>
    <tableColumn id="2" xr3:uid="{00000000-0010-0000-0200-000002000000}" name="As at  31st March 2021" dataDxfId="16"/>
    <tableColumn id="3" xr3:uid="{00000000-0010-0000-0200-000003000000}" name="As at  31st March 2022" dataDxfId="15"/>
    <tableColumn id="4" xr3:uid="{00000000-0010-0000-0200-000004000000}" name="As at  31st March 2023" dataDxfId="14"/>
    <tableColumn id="5" xr3:uid="{00000000-0010-0000-0200-000005000000}" name="As at  31st March 2024" dataDxfId="13"/>
    <tableColumn id="6" xr3:uid="{00000000-0010-0000-0200-000006000000}" name="As at  31st March 2025" dataDxfId="12"/>
    <tableColumn id="7" xr3:uid="{00000000-0010-0000-0200-000007000000}" name="As at  31st March 2026" dataDxfId="11"/>
    <tableColumn id="8" xr3:uid="{00000000-0010-0000-0200-000008000000}" name="As at 31 March 2027 E" dataDxfId="1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4FBFB-9F28-44E5-93DB-C99CD1A59DBD}">
  <sheetPr>
    <tabColor rgb="FFFF0000"/>
  </sheetPr>
  <dimension ref="A1:R23"/>
  <sheetViews>
    <sheetView workbookViewId="0">
      <selection activeCell="C20" sqref="C20"/>
    </sheetView>
  </sheetViews>
  <sheetFormatPr defaultRowHeight="14.25" x14ac:dyDescent="0.2"/>
  <cols>
    <col min="1" max="1" width="9.140625" style="17" customWidth="1"/>
    <col min="2" max="2" width="9.140625" style="17"/>
    <col min="3" max="3" width="16.42578125" style="17" customWidth="1"/>
    <col min="4" max="16384" width="9.140625" style="17"/>
  </cols>
  <sheetData>
    <row r="1" spans="1:18" ht="23.25" customHeight="1" x14ac:dyDescent="0.25">
      <c r="A1" s="22" t="s">
        <v>190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x14ac:dyDescent="0.2">
      <c r="B2" s="21"/>
      <c r="C2" s="21"/>
    </row>
    <row r="3" spans="1:18" x14ac:dyDescent="0.2">
      <c r="B3" s="18"/>
      <c r="C3" s="18"/>
    </row>
    <row r="4" spans="1:18" x14ac:dyDescent="0.2">
      <c r="B4" s="19"/>
      <c r="C4" s="20"/>
    </row>
    <row r="5" spans="1:18" x14ac:dyDescent="0.2">
      <c r="B5" s="19"/>
      <c r="C5" s="20"/>
    </row>
    <row r="6" spans="1:18" x14ac:dyDescent="0.2">
      <c r="B6" s="19"/>
      <c r="C6" s="20"/>
    </row>
    <row r="7" spans="1:18" x14ac:dyDescent="0.2">
      <c r="B7" s="19"/>
      <c r="C7" s="20"/>
    </row>
    <row r="8" spans="1:18" x14ac:dyDescent="0.2">
      <c r="B8" s="19"/>
      <c r="C8" s="20"/>
    </row>
    <row r="9" spans="1:18" x14ac:dyDescent="0.2">
      <c r="B9" s="19"/>
      <c r="C9" s="20"/>
    </row>
    <row r="10" spans="1:18" x14ac:dyDescent="0.2">
      <c r="B10" s="19"/>
      <c r="C10" s="20"/>
    </row>
    <row r="11" spans="1:18" x14ac:dyDescent="0.2">
      <c r="B11" s="19"/>
      <c r="C11" s="20"/>
    </row>
    <row r="12" spans="1:18" x14ac:dyDescent="0.2">
      <c r="B12" s="19"/>
      <c r="C12" s="20"/>
    </row>
    <row r="13" spans="1:18" x14ac:dyDescent="0.2">
      <c r="B13" s="19"/>
      <c r="C13" s="20"/>
    </row>
    <row r="22" spans="14:17" x14ac:dyDescent="0.2">
      <c r="N22" s="25"/>
    </row>
    <row r="23" spans="14:17" x14ac:dyDescent="0.2">
      <c r="Q23" s="25"/>
    </row>
  </sheetData>
  <mergeCells count="2">
    <mergeCell ref="B2:C2"/>
    <mergeCell ref="A1:R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-0.499984740745262"/>
  </sheetPr>
  <dimension ref="A1:Q29"/>
  <sheetViews>
    <sheetView tabSelected="1" zoomScaleNormal="100" workbookViewId="0">
      <selection activeCell="G31" sqref="G31"/>
    </sheetView>
  </sheetViews>
  <sheetFormatPr defaultColWidth="8.7109375" defaultRowHeight="15" x14ac:dyDescent="0.25"/>
  <cols>
    <col min="1" max="1" width="2" customWidth="1"/>
    <col min="2" max="2" width="43" customWidth="1"/>
    <col min="3" max="8" width="23.85546875" bestFit="1" customWidth="1"/>
  </cols>
  <sheetData>
    <row r="1" spans="2:8" ht="18.75" customHeight="1" x14ac:dyDescent="0.25">
      <c r="B1" s="23" t="s">
        <v>0</v>
      </c>
      <c r="C1" s="23"/>
      <c r="D1" s="23"/>
      <c r="E1" s="23"/>
      <c r="F1" s="23"/>
      <c r="G1" s="23"/>
      <c r="H1" s="23"/>
    </row>
    <row r="2" spans="2:8" ht="0.75" customHeight="1" x14ac:dyDescent="0.25">
      <c r="B2" s="1"/>
      <c r="C2" s="1"/>
      <c r="D2" s="1"/>
      <c r="E2" s="1"/>
      <c r="F2" s="1"/>
      <c r="G2" s="1"/>
      <c r="H2" s="1"/>
    </row>
    <row r="3" spans="2:8" ht="6.75" customHeight="1" x14ac:dyDescent="0.25"/>
    <row r="4" spans="2:8" s="2" customFormat="1" ht="15" customHeight="1" x14ac:dyDescent="0.25">
      <c r="B4" s="3" t="s">
        <v>1</v>
      </c>
      <c r="C4" s="26" t="s">
        <v>21</v>
      </c>
      <c r="D4" s="26" t="s">
        <v>22</v>
      </c>
      <c r="E4" s="26" t="s">
        <v>23</v>
      </c>
      <c r="F4" s="26" t="s">
        <v>24</v>
      </c>
      <c r="G4" s="26" t="s">
        <v>25</v>
      </c>
      <c r="H4" s="26" t="s">
        <v>26</v>
      </c>
    </row>
    <row r="5" spans="2:8" ht="15" customHeight="1" x14ac:dyDescent="0.25">
      <c r="B5" s="69" t="s">
        <v>2</v>
      </c>
      <c r="C5" s="63"/>
      <c r="D5" s="63"/>
      <c r="E5" s="63"/>
      <c r="F5" s="63"/>
      <c r="G5" s="60"/>
      <c r="H5" s="60"/>
    </row>
    <row r="6" spans="2:8" ht="15" customHeight="1" x14ac:dyDescent="0.25">
      <c r="B6" s="67" t="s">
        <v>3</v>
      </c>
      <c r="C6" s="47">
        <v>45996</v>
      </c>
      <c r="D6" s="47">
        <v>51193</v>
      </c>
      <c r="E6" s="47">
        <v>59144</v>
      </c>
      <c r="F6" s="47">
        <v>60469</v>
      </c>
      <c r="G6" s="47">
        <v>59676</v>
      </c>
      <c r="H6" s="47">
        <v>61975</v>
      </c>
    </row>
    <row r="7" spans="2:8" ht="15" customHeight="1" x14ac:dyDescent="0.25">
      <c r="B7" s="67" t="s">
        <v>4</v>
      </c>
      <c r="C7" s="47">
        <v>513</v>
      </c>
      <c r="D7" s="47">
        <v>393</v>
      </c>
      <c r="E7" s="47">
        <v>640</v>
      </c>
      <c r="F7" s="47">
        <v>973</v>
      </c>
      <c r="G7" s="47">
        <v>1177</v>
      </c>
      <c r="H7" s="47">
        <v>959</v>
      </c>
    </row>
    <row r="8" spans="2:8" ht="15" customHeight="1" x14ac:dyDescent="0.25">
      <c r="B8" s="61" t="s">
        <v>5</v>
      </c>
      <c r="C8" s="50">
        <f>SUM(C6:C7)</f>
        <v>46509</v>
      </c>
      <c r="D8" s="50">
        <f>SUM(D6:D7)</f>
        <v>51586</v>
      </c>
      <c r="E8" s="50">
        <f>SUM(E6:E7)</f>
        <v>59784</v>
      </c>
      <c r="F8" s="50">
        <f>SUM(F6:F7)</f>
        <v>61442</v>
      </c>
      <c r="G8" s="50">
        <f>G6+G7</f>
        <v>60853</v>
      </c>
      <c r="H8" s="50">
        <f>H6+H7</f>
        <v>62934</v>
      </c>
    </row>
    <row r="9" spans="2:8" ht="15" customHeight="1" x14ac:dyDescent="0.25">
      <c r="B9" s="69" t="s">
        <v>6</v>
      </c>
      <c r="C9" s="47"/>
      <c r="D9" s="47"/>
      <c r="E9" s="47"/>
      <c r="F9" s="47"/>
      <c r="G9" s="49"/>
      <c r="H9" s="49"/>
    </row>
    <row r="10" spans="2:8" ht="15" customHeight="1" x14ac:dyDescent="0.25">
      <c r="B10" s="67" t="s">
        <v>7</v>
      </c>
      <c r="C10" s="47">
        <v>14951</v>
      </c>
      <c r="D10" s="47">
        <v>15869</v>
      </c>
      <c r="E10" s="47">
        <v>19229</v>
      </c>
      <c r="F10" s="47">
        <v>17791</v>
      </c>
      <c r="G10" s="47">
        <v>17274</v>
      </c>
      <c r="H10" s="47">
        <v>18726</v>
      </c>
    </row>
    <row r="11" spans="2:8" ht="15" customHeight="1" x14ac:dyDescent="0.25">
      <c r="B11" s="67" t="s">
        <v>8</v>
      </c>
      <c r="C11" s="47">
        <v>7117</v>
      </c>
      <c r="D11" s="47">
        <v>9274</v>
      </c>
      <c r="E11" s="47">
        <v>11968</v>
      </c>
      <c r="F11" s="47">
        <v>11544</v>
      </c>
      <c r="G11" s="47">
        <v>12172</v>
      </c>
      <c r="H11" s="47">
        <v>12753</v>
      </c>
    </row>
    <row r="12" spans="2:8" ht="28.5" customHeight="1" x14ac:dyDescent="0.25">
      <c r="B12" s="70" t="s">
        <v>9</v>
      </c>
      <c r="C12" s="47">
        <v>-391</v>
      </c>
      <c r="D12" s="47">
        <v>-19</v>
      </c>
      <c r="E12" s="47">
        <v>-53</v>
      </c>
      <c r="F12" s="47">
        <v>-8</v>
      </c>
      <c r="G12" s="47">
        <v>-78</v>
      </c>
      <c r="H12" s="47">
        <v>-395</v>
      </c>
    </row>
    <row r="13" spans="2:8" ht="15" customHeight="1" x14ac:dyDescent="0.25">
      <c r="B13" s="68" t="s">
        <v>10</v>
      </c>
      <c r="C13" s="47">
        <v>2229</v>
      </c>
      <c r="D13" s="47">
        <v>2399</v>
      </c>
      <c r="E13" s="47">
        <v>2665</v>
      </c>
      <c r="F13" s="47">
        <v>2782</v>
      </c>
      <c r="G13" s="47">
        <v>2715</v>
      </c>
      <c r="H13" s="47">
        <v>2843</v>
      </c>
    </row>
    <row r="14" spans="2:8" ht="15" customHeight="1" x14ac:dyDescent="0.25">
      <c r="B14" s="67" t="s">
        <v>11</v>
      </c>
      <c r="C14" s="47">
        <v>108</v>
      </c>
      <c r="D14" s="47">
        <v>98</v>
      </c>
      <c r="E14" s="47">
        <v>101</v>
      </c>
      <c r="F14" s="47">
        <v>302</v>
      </c>
      <c r="G14" s="47">
        <v>350</v>
      </c>
      <c r="H14" s="47">
        <v>363</v>
      </c>
    </row>
    <row r="15" spans="2:8" ht="15" customHeight="1" x14ac:dyDescent="0.25">
      <c r="B15" s="67" t="s">
        <v>12</v>
      </c>
      <c r="C15" s="47">
        <v>1012</v>
      </c>
      <c r="D15" s="47">
        <v>1025</v>
      </c>
      <c r="E15" s="47">
        <v>1030</v>
      </c>
      <c r="F15" s="47">
        <v>1097</v>
      </c>
      <c r="G15" s="47">
        <v>1122</v>
      </c>
      <c r="H15" s="47">
        <v>1186</v>
      </c>
    </row>
    <row r="16" spans="2:8" ht="15" customHeight="1" x14ac:dyDescent="0.25">
      <c r="B16" s="67" t="s">
        <v>13</v>
      </c>
      <c r="C16" s="47">
        <v>10766</v>
      </c>
      <c r="D16" s="47">
        <v>11167</v>
      </c>
      <c r="E16" s="47">
        <v>11703</v>
      </c>
      <c r="F16" s="47">
        <v>14170</v>
      </c>
      <c r="G16" s="47">
        <v>13449</v>
      </c>
      <c r="H16" s="47">
        <v>13584</v>
      </c>
    </row>
    <row r="17" spans="1:17" ht="15" customHeight="1" x14ac:dyDescent="0.25">
      <c r="B17" s="71" t="s">
        <v>14</v>
      </c>
      <c r="C17" s="72">
        <f t="shared" ref="C17:H17" si="0">SUM(C10:C16)</f>
        <v>35792</v>
      </c>
      <c r="D17" s="72">
        <f t="shared" si="0"/>
        <v>39813</v>
      </c>
      <c r="E17" s="72">
        <f t="shared" si="0"/>
        <v>46643</v>
      </c>
      <c r="F17" s="72">
        <f t="shared" si="0"/>
        <v>47678</v>
      </c>
      <c r="G17" s="50">
        <f t="shared" si="0"/>
        <v>47004</v>
      </c>
      <c r="H17" s="50">
        <f t="shared" si="0"/>
        <v>49060</v>
      </c>
    </row>
    <row r="18" spans="1:17" ht="15" customHeight="1" x14ac:dyDescent="0.25">
      <c r="B18" s="71" t="s">
        <v>15</v>
      </c>
      <c r="C18" s="52">
        <f t="shared" ref="C18:H18" si="1">C8-C17</f>
        <v>10717</v>
      </c>
      <c r="D18" s="52">
        <f t="shared" si="1"/>
        <v>11773</v>
      </c>
      <c r="E18" s="52">
        <f t="shared" si="1"/>
        <v>13141</v>
      </c>
      <c r="F18" s="52">
        <f t="shared" si="1"/>
        <v>13764</v>
      </c>
      <c r="G18" s="52">
        <f t="shared" si="1"/>
        <v>13849</v>
      </c>
      <c r="H18" s="52">
        <f t="shared" si="1"/>
        <v>13874</v>
      </c>
    </row>
    <row r="19" spans="1:17" ht="15" customHeight="1" x14ac:dyDescent="0.25">
      <c r="B19" s="67" t="s">
        <v>16</v>
      </c>
      <c r="C19" s="47">
        <v>-227</v>
      </c>
      <c r="D19" s="47">
        <v>-34</v>
      </c>
      <c r="E19" s="47">
        <v>-62</v>
      </c>
      <c r="F19" s="47">
        <v>-89</v>
      </c>
      <c r="G19" s="47">
        <v>464</v>
      </c>
      <c r="H19" s="47">
        <v>206</v>
      </c>
    </row>
    <row r="20" spans="1:17" ht="15" customHeight="1" x14ac:dyDescent="0.25">
      <c r="B20" s="61" t="s">
        <v>17</v>
      </c>
      <c r="C20" s="72">
        <f>SUM(C18:C19)</f>
        <v>10490</v>
      </c>
      <c r="D20" s="72">
        <f>SUM(D18:D19)</f>
        <v>11739</v>
      </c>
      <c r="E20" s="72">
        <f>SUM(E18:E19)</f>
        <v>13079</v>
      </c>
      <c r="F20" s="72">
        <f>SUM(F18:F19)</f>
        <v>13675</v>
      </c>
      <c r="G20" s="50">
        <f>G18+G19</f>
        <v>14313</v>
      </c>
      <c r="H20" s="50">
        <f>H18+H19</f>
        <v>14080</v>
      </c>
    </row>
    <row r="21" spans="1:17" ht="15" customHeight="1" x14ac:dyDescent="0.25">
      <c r="B21" s="69" t="s">
        <v>18</v>
      </c>
      <c r="C21" s="49"/>
      <c r="D21" s="49"/>
      <c r="E21" s="49"/>
      <c r="F21" s="49"/>
      <c r="G21" s="49"/>
      <c r="H21" s="49"/>
    </row>
    <row r="22" spans="1:17" ht="15" customHeight="1" x14ac:dyDescent="0.25">
      <c r="B22" s="67" t="s">
        <v>19</v>
      </c>
      <c r="C22" s="47">
        <v>-2458</v>
      </c>
      <c r="D22" s="47">
        <v>-2778</v>
      </c>
      <c r="E22" s="47">
        <v>-2922</v>
      </c>
      <c r="F22" s="47">
        <v>-3446</v>
      </c>
      <c r="G22" s="47">
        <v>-3523</v>
      </c>
      <c r="H22" s="47">
        <v>-3070</v>
      </c>
      <c r="N22" s="24"/>
    </row>
    <row r="23" spans="1:17" ht="15" customHeight="1" x14ac:dyDescent="0.25">
      <c r="B23" s="67" t="s">
        <v>20</v>
      </c>
      <c r="C23" s="47">
        <v>-78</v>
      </c>
      <c r="D23" s="47">
        <v>-143</v>
      </c>
      <c r="E23" s="47">
        <v>-195</v>
      </c>
      <c r="F23" s="47">
        <v>-115</v>
      </c>
      <c r="G23" s="47">
        <v>-137</v>
      </c>
      <c r="H23" s="47">
        <v>10</v>
      </c>
      <c r="Q23" s="24"/>
    </row>
    <row r="24" spans="1:17" ht="21" customHeight="1" x14ac:dyDescent="0.25">
      <c r="A24" s="4"/>
      <c r="B24" s="73" t="s">
        <v>238</v>
      </c>
      <c r="C24" s="72">
        <f t="shared" ref="C24:H24" si="2">C20+C22+C23</f>
        <v>7954</v>
      </c>
      <c r="D24" s="72">
        <f t="shared" si="2"/>
        <v>8818</v>
      </c>
      <c r="E24" s="72">
        <f t="shared" si="2"/>
        <v>9962</v>
      </c>
      <c r="F24" s="72">
        <f t="shared" si="2"/>
        <v>10114</v>
      </c>
      <c r="G24" s="50">
        <f t="shared" si="2"/>
        <v>10653</v>
      </c>
      <c r="H24" s="50">
        <f t="shared" si="2"/>
        <v>11020</v>
      </c>
    </row>
    <row r="25" spans="1:17" x14ac:dyDescent="0.25">
      <c r="B25" s="60"/>
      <c r="C25" s="60"/>
      <c r="D25" s="60"/>
      <c r="E25" s="60"/>
      <c r="F25" s="60"/>
      <c r="G25" s="60"/>
      <c r="H25" s="60"/>
    </row>
    <row r="26" spans="1:17" x14ac:dyDescent="0.25">
      <c r="B26" s="60"/>
      <c r="C26" s="60"/>
      <c r="D26" s="60"/>
      <c r="E26" s="60"/>
      <c r="F26" s="60"/>
      <c r="G26" s="60"/>
      <c r="H26" s="60"/>
    </row>
    <row r="27" spans="1:17" ht="15" customHeight="1" x14ac:dyDescent="0.25">
      <c r="B27" s="60"/>
      <c r="C27" s="60"/>
      <c r="D27" s="60"/>
      <c r="E27" s="60"/>
      <c r="F27" s="60"/>
      <c r="G27" s="60"/>
      <c r="H27" s="60"/>
    </row>
    <row r="28" spans="1:17" x14ac:dyDescent="0.25">
      <c r="B28" s="60"/>
      <c r="C28" s="60"/>
      <c r="D28" s="60"/>
      <c r="E28" s="60"/>
      <c r="F28" s="60"/>
      <c r="G28" s="60"/>
      <c r="H28" s="60"/>
    </row>
    <row r="29" spans="1:17" x14ac:dyDescent="0.25">
      <c r="B29" s="60"/>
      <c r="C29" s="60"/>
      <c r="D29" s="60"/>
      <c r="E29" s="60"/>
      <c r="F29" s="60"/>
      <c r="G29" s="60"/>
      <c r="H29" s="60"/>
    </row>
  </sheetData>
  <mergeCells count="1">
    <mergeCell ref="B1:H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K61"/>
  <sheetViews>
    <sheetView topLeftCell="A19" zoomScaleNormal="100" workbookViewId="0">
      <pane xSplit="1" topLeftCell="B1" activePane="topRight" state="frozen"/>
      <selection activeCell="O18" sqref="O18"/>
      <selection pane="topRight" activeCell="L13" sqref="A1:XFD1048576"/>
    </sheetView>
  </sheetViews>
  <sheetFormatPr defaultColWidth="9.140625" defaultRowHeight="12.75" x14ac:dyDescent="0.2"/>
  <cols>
    <col min="1" max="1" width="57.5703125" style="24" bestFit="1" customWidth="1"/>
    <col min="2" max="2" width="21" style="24" bestFit="1" customWidth="1"/>
    <col min="3" max="6" width="16.28515625" style="24" bestFit="1" customWidth="1"/>
    <col min="7" max="7" width="16.28515625" style="27" bestFit="1" customWidth="1"/>
    <col min="8" max="8" width="19" style="24" bestFit="1" customWidth="1"/>
    <col min="9" max="9" width="14.28515625" style="24" bestFit="1" customWidth="1"/>
    <col min="10" max="11" width="19" style="24" bestFit="1" customWidth="1"/>
    <col min="12" max="16384" width="9.140625" style="24"/>
  </cols>
  <sheetData>
    <row r="1" spans="1:11" ht="6.75" customHeight="1" x14ac:dyDescent="0.2"/>
    <row r="2" spans="1:11" ht="18" customHeight="1" x14ac:dyDescent="0.2">
      <c r="A2" s="42" t="s">
        <v>229</v>
      </c>
      <c r="B2" s="42"/>
      <c r="C2" s="42"/>
      <c r="D2" s="42"/>
      <c r="E2" s="42"/>
      <c r="F2" s="42"/>
      <c r="G2" s="42"/>
      <c r="H2" s="42"/>
      <c r="I2" s="42"/>
      <c r="J2" s="42"/>
      <c r="K2" s="42"/>
    </row>
    <row r="3" spans="1:11" ht="14.25" customHeight="1" x14ac:dyDescent="0.2">
      <c r="A3" s="24" t="s">
        <v>230</v>
      </c>
    </row>
    <row r="4" spans="1:11" ht="1.5" customHeight="1" x14ac:dyDescent="0.2"/>
    <row r="5" spans="1:11" s="31" customFormat="1" ht="28.5" customHeight="1" x14ac:dyDescent="0.25">
      <c r="A5" s="43" t="s">
        <v>1</v>
      </c>
      <c r="B5" s="43" t="s">
        <v>21</v>
      </c>
      <c r="C5" s="43" t="s">
        <v>22</v>
      </c>
      <c r="D5" s="43" t="s">
        <v>23</v>
      </c>
      <c r="E5" s="43" t="s">
        <v>24</v>
      </c>
      <c r="F5" s="43" t="s">
        <v>25</v>
      </c>
      <c r="G5" s="43" t="s">
        <v>26</v>
      </c>
      <c r="H5" s="44" t="s">
        <v>176</v>
      </c>
      <c r="I5" s="44" t="s">
        <v>177</v>
      </c>
      <c r="J5" s="44" t="s">
        <v>178</v>
      </c>
      <c r="K5" s="44" t="s">
        <v>179</v>
      </c>
    </row>
    <row r="6" spans="1:11" ht="14.25" customHeight="1" x14ac:dyDescent="0.2">
      <c r="A6" s="45" t="s">
        <v>27</v>
      </c>
      <c r="B6" s="32"/>
      <c r="C6" s="32"/>
      <c r="D6" s="32"/>
      <c r="E6" s="32"/>
      <c r="F6" s="32"/>
      <c r="G6" s="33"/>
      <c r="H6" s="34"/>
      <c r="I6" s="34"/>
      <c r="J6" s="34"/>
      <c r="K6" s="34"/>
    </row>
    <row r="7" spans="1:11" ht="14.25" customHeight="1" x14ac:dyDescent="0.2">
      <c r="A7" s="46" t="s">
        <v>28</v>
      </c>
      <c r="B7" s="35"/>
      <c r="C7" s="35"/>
      <c r="D7" s="35"/>
      <c r="E7" s="35"/>
      <c r="F7" s="35"/>
      <c r="G7" s="33"/>
      <c r="H7" s="34"/>
      <c r="I7" s="34"/>
      <c r="J7" s="34"/>
      <c r="K7" s="34"/>
    </row>
    <row r="8" spans="1:11" ht="14.25" customHeight="1" x14ac:dyDescent="0.2">
      <c r="A8" s="40" t="s">
        <v>29</v>
      </c>
      <c r="B8" s="47">
        <v>5786</v>
      </c>
      <c r="C8" s="47">
        <v>5813</v>
      </c>
      <c r="D8" s="47">
        <v>6189</v>
      </c>
      <c r="E8" s="47">
        <v>7178</v>
      </c>
      <c r="F8" s="47">
        <v>7710</v>
      </c>
      <c r="G8" s="48">
        <v>7191</v>
      </c>
      <c r="H8" s="49">
        <f>G8+(Assumption!G19*'FY 26-27E Projected'!I6)-'FY 26-27E Projected'!I16</f>
        <v>7131.4894687499836</v>
      </c>
      <c r="I8" s="49">
        <f>H8+(Assumption!H19*'FY 26-27E Projected'!J6)-'FY 26-27E Projected'!J16</f>
        <v>7027.4078303108872</v>
      </c>
      <c r="J8" s="49">
        <f>I8+(Assumption!I19*'FY 26-27E Projected'!K6)-'FY 26-27E Projected'!K16</f>
        <v>6873.3571061131834</v>
      </c>
      <c r="K8" s="49">
        <f>J8+(Assumption!J19*'FY 26-27E Projected'!L6)-'FY 26-27E Projected'!L16</f>
        <v>6663.4349212838897</v>
      </c>
    </row>
    <row r="9" spans="1:11" ht="14.25" customHeight="1" x14ac:dyDescent="0.2">
      <c r="A9" s="40" t="s">
        <v>30</v>
      </c>
      <c r="B9" s="47">
        <v>623</v>
      </c>
      <c r="C9" s="47">
        <v>901</v>
      </c>
      <c r="D9" s="47">
        <v>1020</v>
      </c>
      <c r="E9" s="47">
        <v>915</v>
      </c>
      <c r="F9" s="47">
        <v>956</v>
      </c>
      <c r="G9" s="48">
        <v>833</v>
      </c>
      <c r="H9" s="47">
        <f>Table3[[#This Row],[As at  31st March 2026]]</f>
        <v>833</v>
      </c>
      <c r="I9" s="47">
        <f t="shared" ref="I9:K11" si="0">H9</f>
        <v>833</v>
      </c>
      <c r="J9" s="47">
        <f t="shared" si="0"/>
        <v>833</v>
      </c>
      <c r="K9" s="47">
        <f t="shared" si="0"/>
        <v>833</v>
      </c>
    </row>
    <row r="10" spans="1:11" ht="14.25" customHeight="1" x14ac:dyDescent="0.2">
      <c r="A10" s="40" t="s">
        <v>31</v>
      </c>
      <c r="B10" s="47">
        <v>17316</v>
      </c>
      <c r="C10" s="47">
        <v>17316</v>
      </c>
      <c r="D10" s="47">
        <v>17316</v>
      </c>
      <c r="E10" s="47">
        <v>17316</v>
      </c>
      <c r="F10" s="47">
        <v>17316</v>
      </c>
      <c r="G10" s="48">
        <v>17281</v>
      </c>
      <c r="H10" s="47">
        <f>Table3[[#This Row],[As at  31st March 2026]]</f>
        <v>17281</v>
      </c>
      <c r="I10" s="47">
        <f t="shared" si="0"/>
        <v>17281</v>
      </c>
      <c r="J10" s="47">
        <f t="shared" si="0"/>
        <v>17281</v>
      </c>
      <c r="K10" s="47">
        <f t="shared" si="0"/>
        <v>17281</v>
      </c>
    </row>
    <row r="11" spans="1:11" ht="14.25" customHeight="1" x14ac:dyDescent="0.2">
      <c r="A11" s="40" t="s">
        <v>32</v>
      </c>
      <c r="B11" s="47">
        <v>27925</v>
      </c>
      <c r="C11" s="47">
        <v>27905</v>
      </c>
      <c r="D11" s="47">
        <v>27900</v>
      </c>
      <c r="E11" s="47">
        <v>27885</v>
      </c>
      <c r="F11" s="47">
        <v>27881</v>
      </c>
      <c r="G11" s="48">
        <v>27947</v>
      </c>
      <c r="H11" s="47">
        <f>Table3[[#This Row],[As at  31st March 2026]]</f>
        <v>27947</v>
      </c>
      <c r="I11" s="47">
        <f t="shared" si="0"/>
        <v>27947</v>
      </c>
      <c r="J11" s="47">
        <f t="shared" si="0"/>
        <v>27947</v>
      </c>
      <c r="K11" s="47">
        <f t="shared" si="0"/>
        <v>27947</v>
      </c>
    </row>
    <row r="12" spans="1:11" ht="14.25" customHeight="1" x14ac:dyDescent="0.2">
      <c r="A12" s="35" t="s">
        <v>33</v>
      </c>
      <c r="B12" s="47"/>
      <c r="C12" s="47"/>
      <c r="D12" s="47"/>
      <c r="E12" s="47"/>
      <c r="F12" s="47"/>
      <c r="G12" s="48"/>
      <c r="H12" s="47"/>
      <c r="I12" s="49"/>
      <c r="J12" s="49"/>
      <c r="K12" s="49"/>
    </row>
    <row r="13" spans="1:11" ht="14.25" customHeight="1" x14ac:dyDescent="0.2">
      <c r="A13" s="40" t="s">
        <v>34</v>
      </c>
      <c r="B13" s="47">
        <v>310</v>
      </c>
      <c r="C13" s="47">
        <v>610</v>
      </c>
      <c r="D13" s="47">
        <v>981</v>
      </c>
      <c r="E13" s="47">
        <v>981</v>
      </c>
      <c r="F13" s="47">
        <v>986</v>
      </c>
      <c r="G13" s="48">
        <v>4632</v>
      </c>
      <c r="H13" s="47">
        <f>Table3[[#This Row],[As at  31st March 2026]]</f>
        <v>4632</v>
      </c>
      <c r="I13" s="47">
        <f t="shared" ref="I13:K18" si="1">H13</f>
        <v>4632</v>
      </c>
      <c r="J13" s="47">
        <f t="shared" si="1"/>
        <v>4632</v>
      </c>
      <c r="K13" s="47">
        <f t="shared" si="1"/>
        <v>4632</v>
      </c>
    </row>
    <row r="14" spans="1:11" ht="14.25" customHeight="1" x14ac:dyDescent="0.2">
      <c r="A14" s="40" t="s">
        <v>35</v>
      </c>
      <c r="B14" s="47">
        <v>2</v>
      </c>
      <c r="C14" s="47">
        <v>2</v>
      </c>
      <c r="D14" s="47">
        <v>2</v>
      </c>
      <c r="E14" s="47">
        <v>2</v>
      </c>
      <c r="F14" s="47">
        <v>2</v>
      </c>
      <c r="G14" s="48">
        <v>111</v>
      </c>
      <c r="H14" s="47">
        <f>Table3[[#This Row],[As at  31st March 2026]]</f>
        <v>111</v>
      </c>
      <c r="I14" s="47">
        <f t="shared" si="1"/>
        <v>111</v>
      </c>
      <c r="J14" s="47">
        <f t="shared" si="1"/>
        <v>111</v>
      </c>
      <c r="K14" s="47">
        <f t="shared" si="1"/>
        <v>111</v>
      </c>
    </row>
    <row r="15" spans="1:11" ht="14.25" customHeight="1" x14ac:dyDescent="0.2">
      <c r="A15" s="40" t="s">
        <v>36</v>
      </c>
      <c r="B15" s="47">
        <v>385</v>
      </c>
      <c r="C15" s="47">
        <v>541</v>
      </c>
      <c r="D15" s="47">
        <v>339</v>
      </c>
      <c r="E15" s="47">
        <v>392</v>
      </c>
      <c r="F15" s="47">
        <v>332</v>
      </c>
      <c r="G15" s="48">
        <v>343</v>
      </c>
      <c r="H15" s="47">
        <f>Table3[[#This Row],[As at  31st March 2026]]</f>
        <v>343</v>
      </c>
      <c r="I15" s="47">
        <f t="shared" si="1"/>
        <v>343</v>
      </c>
      <c r="J15" s="47">
        <f t="shared" si="1"/>
        <v>343</v>
      </c>
      <c r="K15" s="47">
        <f t="shared" si="1"/>
        <v>343</v>
      </c>
    </row>
    <row r="16" spans="1:11" ht="14.25" customHeight="1" x14ac:dyDescent="0.2">
      <c r="A16" s="40" t="s">
        <v>37</v>
      </c>
      <c r="B16" s="47">
        <v>748</v>
      </c>
      <c r="C16" s="47">
        <v>720</v>
      </c>
      <c r="D16" s="47">
        <v>715</v>
      </c>
      <c r="E16" s="47">
        <v>714</v>
      </c>
      <c r="F16" s="47">
        <v>744</v>
      </c>
      <c r="G16" s="48">
        <v>691</v>
      </c>
      <c r="H16" s="47">
        <f>Table3[[#This Row],[As at  31st March 2026]]</f>
        <v>691</v>
      </c>
      <c r="I16" s="47">
        <f t="shared" si="1"/>
        <v>691</v>
      </c>
      <c r="J16" s="47">
        <f t="shared" si="1"/>
        <v>691</v>
      </c>
      <c r="K16" s="47">
        <f t="shared" si="1"/>
        <v>691</v>
      </c>
    </row>
    <row r="17" spans="1:11" ht="14.25" customHeight="1" x14ac:dyDescent="0.2">
      <c r="A17" s="40" t="s">
        <v>38</v>
      </c>
      <c r="B17" s="47">
        <v>1200</v>
      </c>
      <c r="C17" s="47">
        <v>1107</v>
      </c>
      <c r="D17" s="47">
        <v>1115</v>
      </c>
      <c r="E17" s="47">
        <v>1118</v>
      </c>
      <c r="F17" s="47">
        <v>1144</v>
      </c>
      <c r="G17" s="48">
        <v>1078</v>
      </c>
      <c r="H17" s="47">
        <f>Table3[[#This Row],[As at  31st March 2026]]</f>
        <v>1078</v>
      </c>
      <c r="I17" s="47">
        <f t="shared" si="1"/>
        <v>1078</v>
      </c>
      <c r="J17" s="47">
        <f t="shared" si="1"/>
        <v>1078</v>
      </c>
      <c r="K17" s="47">
        <f t="shared" si="1"/>
        <v>1078</v>
      </c>
    </row>
    <row r="18" spans="1:11" ht="14.25" customHeight="1" x14ac:dyDescent="0.2">
      <c r="A18" s="40" t="s">
        <v>39</v>
      </c>
      <c r="B18" s="47">
        <v>181</v>
      </c>
      <c r="C18" s="47">
        <v>175</v>
      </c>
      <c r="D18" s="47">
        <v>199</v>
      </c>
      <c r="E18" s="47">
        <v>279</v>
      </c>
      <c r="F18" s="47">
        <v>343</v>
      </c>
      <c r="G18" s="48">
        <v>340</v>
      </c>
      <c r="H18" s="47">
        <f>Table3[[#This Row],[As at  31st March 2026]]</f>
        <v>340</v>
      </c>
      <c r="I18" s="47">
        <f t="shared" si="1"/>
        <v>340</v>
      </c>
      <c r="J18" s="47">
        <f t="shared" si="1"/>
        <v>340</v>
      </c>
      <c r="K18" s="47">
        <f t="shared" si="1"/>
        <v>340</v>
      </c>
    </row>
    <row r="19" spans="1:11" ht="14.25" customHeight="1" x14ac:dyDescent="0.2">
      <c r="A19" s="36" t="s">
        <v>231</v>
      </c>
      <c r="B19" s="50">
        <f t="shared" ref="B19:K19" si="2">SUM(B8:B18)</f>
        <v>54476</v>
      </c>
      <c r="C19" s="50">
        <f t="shared" si="2"/>
        <v>55090</v>
      </c>
      <c r="D19" s="50">
        <f t="shared" si="2"/>
        <v>55776</v>
      </c>
      <c r="E19" s="50">
        <f t="shared" si="2"/>
        <v>56780</v>
      </c>
      <c r="F19" s="50">
        <f t="shared" si="2"/>
        <v>57414</v>
      </c>
      <c r="G19" s="51">
        <f t="shared" si="2"/>
        <v>60447</v>
      </c>
      <c r="H19" s="50">
        <f t="shared" si="2"/>
        <v>60387.489468749984</v>
      </c>
      <c r="I19" s="50">
        <f t="shared" si="2"/>
        <v>60283.407830310884</v>
      </c>
      <c r="J19" s="50">
        <f t="shared" si="2"/>
        <v>60129.357106113181</v>
      </c>
      <c r="K19" s="50">
        <f t="shared" si="2"/>
        <v>59919.434921283886</v>
      </c>
    </row>
    <row r="20" spans="1:11" ht="14.25" customHeight="1" x14ac:dyDescent="0.2">
      <c r="A20" s="46" t="s">
        <v>40</v>
      </c>
      <c r="B20" s="52"/>
      <c r="C20" s="52"/>
      <c r="D20" s="52"/>
      <c r="E20" s="52"/>
      <c r="F20" s="52"/>
      <c r="G20" s="53"/>
      <c r="H20" s="49"/>
      <c r="I20" s="49"/>
      <c r="J20" s="49"/>
      <c r="K20" s="49"/>
    </row>
    <row r="21" spans="1:11" ht="14.25" customHeight="1" x14ac:dyDescent="0.2">
      <c r="A21" s="40" t="s">
        <v>41</v>
      </c>
      <c r="B21" s="47">
        <v>3383</v>
      </c>
      <c r="C21" s="47">
        <v>3890</v>
      </c>
      <c r="D21" s="47">
        <v>4031</v>
      </c>
      <c r="E21" s="47">
        <v>3812</v>
      </c>
      <c r="F21" s="47">
        <v>4161</v>
      </c>
      <c r="G21" s="48">
        <v>4383</v>
      </c>
      <c r="H21" s="49">
        <f>(Assumption!G15/365)*'FY 26-27E Projected'!I11</f>
        <v>4649.4303285224178</v>
      </c>
      <c r="I21" s="49">
        <f>(Assumption!H15/365)*'FY 26-27E Projected'!J11</f>
        <v>4943.3819876321504</v>
      </c>
      <c r="J21" s="49">
        <f>(Assumption!I15/365)*'FY 26-27E Projected'!K11</f>
        <v>5255.9181983509898</v>
      </c>
      <c r="K21" s="49">
        <f>(Assumption!J15/365)*'FY 26-27E Projected'!L11</f>
        <v>5588.213934685059</v>
      </c>
    </row>
    <row r="22" spans="1:11" ht="14.25" customHeight="1" x14ac:dyDescent="0.2">
      <c r="A22" s="35" t="s">
        <v>33</v>
      </c>
      <c r="B22" s="47"/>
      <c r="C22" s="47"/>
      <c r="D22" s="47"/>
      <c r="E22" s="47"/>
      <c r="F22" s="47"/>
      <c r="G22" s="48"/>
      <c r="H22" s="47"/>
      <c r="I22" s="49"/>
      <c r="J22" s="49"/>
      <c r="K22" s="49"/>
    </row>
    <row r="23" spans="1:11" ht="14.25" customHeight="1" x14ac:dyDescent="0.2">
      <c r="A23" s="40" t="s">
        <v>42</v>
      </c>
      <c r="B23" s="47">
        <v>2683</v>
      </c>
      <c r="C23" s="47">
        <v>3510</v>
      </c>
      <c r="D23" s="47">
        <v>2811</v>
      </c>
      <c r="E23" s="47">
        <v>4510</v>
      </c>
      <c r="F23" s="47">
        <v>3614</v>
      </c>
      <c r="G23" s="48">
        <v>4136</v>
      </c>
      <c r="H23" s="47">
        <f>Table3[[#This Row],[As at  31st March 2026]]</f>
        <v>4136</v>
      </c>
      <c r="I23" s="47">
        <f>H23</f>
        <v>4136</v>
      </c>
      <c r="J23" s="47">
        <f>I23</f>
        <v>4136</v>
      </c>
      <c r="K23" s="47">
        <f>J23</f>
        <v>4136</v>
      </c>
    </row>
    <row r="24" spans="1:11" ht="14.25" customHeight="1" x14ac:dyDescent="0.2">
      <c r="A24" s="40" t="s">
        <v>43</v>
      </c>
      <c r="B24" s="47">
        <v>1648</v>
      </c>
      <c r="C24" s="47">
        <v>1932</v>
      </c>
      <c r="D24" s="47">
        <v>2735</v>
      </c>
      <c r="E24" s="47">
        <v>2690</v>
      </c>
      <c r="F24" s="47">
        <v>3450</v>
      </c>
      <c r="G24" s="48">
        <v>3037</v>
      </c>
      <c r="H24" s="49">
        <f>(Assumption!G14/365)*'FY 26-27E Projected'!I6</f>
        <v>3100.726028962727</v>
      </c>
      <c r="I24" s="49">
        <f>(Assumption!H14/365)*'FY 26-27E Projected'!J6</f>
        <v>3296.7637144974169</v>
      </c>
      <c r="J24" s="49">
        <f>(Assumption!I14/365)*'FY 26-27E Projected'!K6</f>
        <v>3505.1955212123826</v>
      </c>
      <c r="K24" s="49">
        <f>(Assumption!J14/365)*'FY 26-27E Projected'!L6</f>
        <v>3726.8050445648555</v>
      </c>
    </row>
    <row r="25" spans="1:11" ht="14.25" customHeight="1" x14ac:dyDescent="0.2">
      <c r="A25" s="40" t="s">
        <v>44</v>
      </c>
      <c r="B25" s="47">
        <v>1740</v>
      </c>
      <c r="C25" s="47">
        <v>988</v>
      </c>
      <c r="D25" s="47">
        <v>586</v>
      </c>
      <c r="E25" s="47">
        <v>609</v>
      </c>
      <c r="F25" s="47">
        <v>5947</v>
      </c>
      <c r="G25" s="48">
        <v>2286</v>
      </c>
      <c r="H25" s="49">
        <f>'Cash Flow Statement'!H75</f>
        <v>4103.9134935952061</v>
      </c>
      <c r="I25" s="49">
        <f>'Cash Flow Statement'!I75</f>
        <v>6620.6287818433102</v>
      </c>
      <c r="J25" s="49">
        <f>'Cash Flow Statement'!J75</f>
        <v>9376.6606708371637</v>
      </c>
      <c r="K25" s="49">
        <f>'Cash Flow Statement'!K75</f>
        <v>12392.424163228821</v>
      </c>
    </row>
    <row r="26" spans="1:11" ht="14.25" customHeight="1" x14ac:dyDescent="0.2">
      <c r="A26" s="40" t="s">
        <v>45</v>
      </c>
      <c r="B26" s="47">
        <v>2581</v>
      </c>
      <c r="C26" s="47">
        <v>2630</v>
      </c>
      <c r="D26" s="47">
        <v>3836</v>
      </c>
      <c r="E26" s="47">
        <v>6607</v>
      </c>
      <c r="F26" s="47">
        <v>1346</v>
      </c>
      <c r="G26" s="48">
        <v>544</v>
      </c>
      <c r="H26" s="47">
        <f>Table3[[#This Row],[As at  31st March 2026]]</f>
        <v>544</v>
      </c>
      <c r="I26" s="47">
        <f t="shared" ref="I26:K31" si="3">H26</f>
        <v>544</v>
      </c>
      <c r="J26" s="47">
        <f t="shared" si="3"/>
        <v>544</v>
      </c>
      <c r="K26" s="47">
        <f t="shared" si="3"/>
        <v>544</v>
      </c>
    </row>
    <row r="27" spans="1:11" ht="14.25" customHeight="1" x14ac:dyDescent="0.2">
      <c r="A27" s="40" t="s">
        <v>36</v>
      </c>
      <c r="B27" s="47">
        <v>34</v>
      </c>
      <c r="C27" s="47">
        <v>34</v>
      </c>
      <c r="D27" s="47">
        <v>35</v>
      </c>
      <c r="E27" s="47">
        <v>37</v>
      </c>
      <c r="F27" s="47">
        <v>45</v>
      </c>
      <c r="G27" s="48">
        <v>49</v>
      </c>
      <c r="H27" s="47">
        <f>Table3[[#This Row],[As at  31st March 2026]]</f>
        <v>49</v>
      </c>
      <c r="I27" s="47">
        <f t="shared" si="3"/>
        <v>49</v>
      </c>
      <c r="J27" s="47">
        <f t="shared" si="3"/>
        <v>49</v>
      </c>
      <c r="K27" s="47">
        <f t="shared" si="3"/>
        <v>49</v>
      </c>
    </row>
    <row r="28" spans="1:11" ht="14.25" customHeight="1" x14ac:dyDescent="0.2">
      <c r="A28" s="40" t="s">
        <v>37</v>
      </c>
      <c r="B28" s="47">
        <v>1116</v>
      </c>
      <c r="C28" s="47">
        <v>1070</v>
      </c>
      <c r="D28" s="47">
        <v>1391</v>
      </c>
      <c r="E28" s="47">
        <v>1416</v>
      </c>
      <c r="F28" s="47">
        <v>1469</v>
      </c>
      <c r="G28" s="48">
        <v>1947</v>
      </c>
      <c r="H28" s="47">
        <f>Table3[[#This Row],[As at  31st March 2026]]</f>
        <v>1947</v>
      </c>
      <c r="I28" s="47">
        <f t="shared" si="3"/>
        <v>1947</v>
      </c>
      <c r="J28" s="47">
        <f t="shared" si="3"/>
        <v>1947</v>
      </c>
      <c r="K28" s="47">
        <f t="shared" si="3"/>
        <v>1947</v>
      </c>
    </row>
    <row r="29" spans="1:11" ht="14.25" customHeight="1" x14ac:dyDescent="0.2">
      <c r="A29" s="40" t="s">
        <v>46</v>
      </c>
      <c r="B29" s="54"/>
      <c r="C29" s="54"/>
      <c r="D29" s="54"/>
      <c r="E29" s="54"/>
      <c r="F29" s="54" t="s">
        <v>47</v>
      </c>
      <c r="G29" s="48">
        <v>154</v>
      </c>
      <c r="H29" s="54">
        <f>Table3[[#This Row],[As at  31st March 2026]]</f>
        <v>154</v>
      </c>
      <c r="I29" s="54">
        <f t="shared" si="3"/>
        <v>154</v>
      </c>
      <c r="J29" s="54">
        <f t="shared" si="3"/>
        <v>154</v>
      </c>
      <c r="K29" s="54">
        <f t="shared" si="3"/>
        <v>154</v>
      </c>
    </row>
    <row r="30" spans="1:11" ht="14.25" customHeight="1" x14ac:dyDescent="0.2">
      <c r="A30" s="40" t="s">
        <v>48</v>
      </c>
      <c r="B30" s="47">
        <v>438</v>
      </c>
      <c r="C30" s="47">
        <v>580</v>
      </c>
      <c r="D30" s="47">
        <v>612</v>
      </c>
      <c r="E30" s="47">
        <v>603</v>
      </c>
      <c r="F30" s="47">
        <v>844</v>
      </c>
      <c r="G30" s="48">
        <v>985</v>
      </c>
      <c r="H30" s="47">
        <f>Table3[[#This Row],[As at  31st March 2026]]</f>
        <v>985</v>
      </c>
      <c r="I30" s="47">
        <f t="shared" si="3"/>
        <v>985</v>
      </c>
      <c r="J30" s="47">
        <f t="shared" si="3"/>
        <v>985</v>
      </c>
      <c r="K30" s="47">
        <f t="shared" si="3"/>
        <v>985</v>
      </c>
    </row>
    <row r="31" spans="1:11" ht="14.25" customHeight="1" x14ac:dyDescent="0.2">
      <c r="A31" s="34" t="s">
        <v>49</v>
      </c>
      <c r="B31" s="47">
        <v>17</v>
      </c>
      <c r="C31" s="47">
        <v>13</v>
      </c>
      <c r="D31" s="47">
        <v>12</v>
      </c>
      <c r="E31" s="47">
        <v>12</v>
      </c>
      <c r="F31" s="47">
        <v>23</v>
      </c>
      <c r="G31" s="48">
        <v>14</v>
      </c>
      <c r="H31" s="47">
        <f>Table3[[#This Row],[As at  31st March 2026]]</f>
        <v>14</v>
      </c>
      <c r="I31" s="47">
        <f t="shared" si="3"/>
        <v>14</v>
      </c>
      <c r="J31" s="47">
        <f t="shared" si="3"/>
        <v>14</v>
      </c>
      <c r="K31" s="47">
        <f t="shared" si="3"/>
        <v>14</v>
      </c>
    </row>
    <row r="32" spans="1:11" ht="14.25" customHeight="1" x14ac:dyDescent="0.2">
      <c r="A32" s="35" t="s">
        <v>232</v>
      </c>
      <c r="B32" s="52">
        <f t="shared" ref="B32:K32" si="4">SUM(B21:B31)</f>
        <v>13640</v>
      </c>
      <c r="C32" s="52">
        <f t="shared" si="4"/>
        <v>14647</v>
      </c>
      <c r="D32" s="52">
        <f t="shared" si="4"/>
        <v>16049</v>
      </c>
      <c r="E32" s="52">
        <f t="shared" si="4"/>
        <v>20296</v>
      </c>
      <c r="F32" s="52">
        <f t="shared" si="4"/>
        <v>20899</v>
      </c>
      <c r="G32" s="55">
        <f t="shared" si="4"/>
        <v>17535</v>
      </c>
      <c r="H32" s="52">
        <f t="shared" si="4"/>
        <v>19683.069851080349</v>
      </c>
      <c r="I32" s="52">
        <f t="shared" si="4"/>
        <v>22689.774483972877</v>
      </c>
      <c r="J32" s="52">
        <f t="shared" si="4"/>
        <v>25966.774390400537</v>
      </c>
      <c r="K32" s="52">
        <f t="shared" si="4"/>
        <v>29536.443142478736</v>
      </c>
    </row>
    <row r="33" spans="1:11" ht="14.25" customHeight="1" x14ac:dyDescent="0.2">
      <c r="A33" s="57" t="s">
        <v>233</v>
      </c>
      <c r="B33" s="50">
        <f t="shared" ref="B33:K33" si="5">B32+B19</f>
        <v>68116</v>
      </c>
      <c r="C33" s="50">
        <f t="shared" si="5"/>
        <v>69737</v>
      </c>
      <c r="D33" s="50">
        <f t="shared" si="5"/>
        <v>71825</v>
      </c>
      <c r="E33" s="50">
        <f t="shared" si="5"/>
        <v>77076</v>
      </c>
      <c r="F33" s="50">
        <f t="shared" si="5"/>
        <v>78313</v>
      </c>
      <c r="G33" s="51">
        <f t="shared" si="5"/>
        <v>77982</v>
      </c>
      <c r="H33" s="50">
        <f t="shared" si="5"/>
        <v>80070.559319830325</v>
      </c>
      <c r="I33" s="50">
        <f t="shared" si="5"/>
        <v>82973.182314283767</v>
      </c>
      <c r="J33" s="50">
        <f t="shared" si="5"/>
        <v>86096.131496513714</v>
      </c>
      <c r="K33" s="50">
        <f t="shared" si="5"/>
        <v>89455.878063762619</v>
      </c>
    </row>
    <row r="34" spans="1:11" ht="14.25" customHeight="1" x14ac:dyDescent="0.2">
      <c r="A34" s="45" t="s">
        <v>50</v>
      </c>
      <c r="B34" s="49"/>
      <c r="C34" s="49"/>
      <c r="D34" s="49"/>
      <c r="E34" s="49"/>
      <c r="F34" s="49"/>
      <c r="G34" s="53"/>
      <c r="H34" s="49"/>
      <c r="I34" s="49"/>
      <c r="J34" s="49"/>
      <c r="K34" s="49"/>
    </row>
    <row r="35" spans="1:11" ht="14.25" customHeight="1" x14ac:dyDescent="0.2">
      <c r="A35" s="46" t="s">
        <v>51</v>
      </c>
      <c r="B35" s="49"/>
      <c r="C35" s="49"/>
      <c r="D35" s="49"/>
      <c r="E35" s="49"/>
      <c r="F35" s="49"/>
      <c r="G35" s="53"/>
      <c r="H35" s="49"/>
      <c r="I35" s="49"/>
      <c r="J35" s="49"/>
      <c r="K35" s="49"/>
    </row>
    <row r="36" spans="1:11" ht="14.25" customHeight="1" x14ac:dyDescent="0.2">
      <c r="A36" s="40" t="s">
        <v>52</v>
      </c>
      <c r="B36" s="47">
        <v>235</v>
      </c>
      <c r="C36" s="47">
        <v>235</v>
      </c>
      <c r="D36" s="47">
        <v>235</v>
      </c>
      <c r="E36" s="47">
        <v>235</v>
      </c>
      <c r="F36" s="47">
        <v>235</v>
      </c>
      <c r="G36" s="48">
        <v>235</v>
      </c>
      <c r="H36" s="47">
        <f>G36</f>
        <v>235</v>
      </c>
      <c r="I36" s="47">
        <f>H36</f>
        <v>235</v>
      </c>
      <c r="J36" s="47">
        <f>I36</f>
        <v>235</v>
      </c>
      <c r="K36" s="47">
        <f>J36</f>
        <v>235</v>
      </c>
    </row>
    <row r="37" spans="1:11" ht="14.25" customHeight="1" x14ac:dyDescent="0.2">
      <c r="A37" s="40" t="s">
        <v>53</v>
      </c>
      <c r="B37" s="47">
        <v>47199</v>
      </c>
      <c r="C37" s="47">
        <v>48525</v>
      </c>
      <c r="D37" s="47">
        <v>49986</v>
      </c>
      <c r="E37" s="47">
        <v>50738</v>
      </c>
      <c r="F37" s="47">
        <v>48918</v>
      </c>
      <c r="G37" s="48">
        <v>48988</v>
      </c>
      <c r="H37" s="49">
        <f>G37+'FY 26-27E Projected'!I24-(Assumption!G20*'FY 26-27E Projected'!I24)</f>
        <v>50255.85777074912</v>
      </c>
      <c r="I37" s="49">
        <f>H37+'FY 26-27E Projected'!J24-(Assumption!H20*'FY 26-27E Projected'!J24)</f>
        <v>51597.081065306156</v>
      </c>
      <c r="J37" s="49">
        <f>I37+'FY 26-27E Projected'!K24-(Assumption!I20*'FY 26-27E Projected'!K24)</f>
        <v>53016.09321885182</v>
      </c>
      <c r="K37" s="49">
        <f>J37+'FY 26-27E Projected'!L24-(Assumption!J20*'FY 26-27E Projected'!L24)</f>
        <v>54517.583285142406</v>
      </c>
    </row>
    <row r="38" spans="1:11" ht="14.25" customHeight="1" x14ac:dyDescent="0.2">
      <c r="A38" s="40" t="s">
        <v>234</v>
      </c>
      <c r="B38" s="52">
        <f t="shared" ref="B38:K38" si="6">SUM(B36:B37)</f>
        <v>47434</v>
      </c>
      <c r="C38" s="52">
        <f t="shared" si="6"/>
        <v>48760</v>
      </c>
      <c r="D38" s="52">
        <f t="shared" si="6"/>
        <v>50221</v>
      </c>
      <c r="E38" s="52">
        <f t="shared" si="6"/>
        <v>50973</v>
      </c>
      <c r="F38" s="52">
        <f t="shared" si="6"/>
        <v>49153</v>
      </c>
      <c r="G38" s="55">
        <f t="shared" si="6"/>
        <v>49223</v>
      </c>
      <c r="H38" s="52">
        <f t="shared" si="6"/>
        <v>50490.85777074912</v>
      </c>
      <c r="I38" s="52">
        <f t="shared" si="6"/>
        <v>51832.081065306156</v>
      </c>
      <c r="J38" s="52">
        <f t="shared" si="6"/>
        <v>53251.09321885182</v>
      </c>
      <c r="K38" s="52">
        <f t="shared" si="6"/>
        <v>54752.583285142406</v>
      </c>
    </row>
    <row r="39" spans="1:11" ht="14.25" customHeight="1" x14ac:dyDescent="0.2">
      <c r="A39" s="46" t="s">
        <v>54</v>
      </c>
      <c r="B39" s="47"/>
      <c r="C39" s="47"/>
      <c r="D39" s="47"/>
      <c r="E39" s="47"/>
      <c r="F39" s="47"/>
      <c r="G39" s="48"/>
      <c r="H39" s="47"/>
      <c r="I39" s="49"/>
      <c r="J39" s="49"/>
      <c r="K39" s="49"/>
    </row>
    <row r="40" spans="1:11" ht="14.25" customHeight="1" x14ac:dyDescent="0.2">
      <c r="A40" s="46" t="s">
        <v>55</v>
      </c>
      <c r="B40" s="47"/>
      <c r="C40" s="47"/>
      <c r="D40" s="47"/>
      <c r="E40" s="47"/>
      <c r="F40" s="47"/>
      <c r="G40" s="48"/>
      <c r="H40" s="47"/>
      <c r="I40" s="49"/>
      <c r="J40" s="49"/>
      <c r="K40" s="49"/>
    </row>
    <row r="41" spans="1:11" ht="14.25" customHeight="1" x14ac:dyDescent="0.2">
      <c r="A41" s="40" t="s">
        <v>56</v>
      </c>
      <c r="B41" s="47"/>
      <c r="C41" s="47"/>
      <c r="D41" s="47"/>
      <c r="E41" s="47"/>
      <c r="F41" s="47"/>
      <c r="G41" s="48"/>
      <c r="H41" s="47"/>
      <c r="I41" s="49"/>
      <c r="J41" s="49"/>
      <c r="K41" s="49"/>
    </row>
    <row r="42" spans="1:11" ht="14.25" customHeight="1" x14ac:dyDescent="0.2">
      <c r="A42" s="40" t="s">
        <v>57</v>
      </c>
      <c r="B42" s="47">
        <v>679</v>
      </c>
      <c r="C42" s="47">
        <v>686</v>
      </c>
      <c r="D42" s="47">
        <v>746</v>
      </c>
      <c r="E42" s="47">
        <v>1034</v>
      </c>
      <c r="F42" s="47">
        <v>1157</v>
      </c>
      <c r="G42" s="48">
        <v>994</v>
      </c>
      <c r="H42" s="47">
        <f t="shared" ref="H42:K46" si="7">G42</f>
        <v>994</v>
      </c>
      <c r="I42" s="47">
        <f t="shared" si="7"/>
        <v>994</v>
      </c>
      <c r="J42" s="47">
        <f t="shared" si="7"/>
        <v>994</v>
      </c>
      <c r="K42" s="47">
        <f t="shared" si="7"/>
        <v>994</v>
      </c>
    </row>
    <row r="43" spans="1:11" ht="14.25" customHeight="1" x14ac:dyDescent="0.2">
      <c r="A43" s="40" t="s">
        <v>58</v>
      </c>
      <c r="B43" s="47">
        <v>266</v>
      </c>
      <c r="C43" s="47">
        <v>329</v>
      </c>
      <c r="D43" s="47">
        <v>495</v>
      </c>
      <c r="E43" s="47">
        <v>430</v>
      </c>
      <c r="F43" s="47">
        <v>647</v>
      </c>
      <c r="G43" s="48">
        <v>819</v>
      </c>
      <c r="H43" s="47">
        <f t="shared" si="7"/>
        <v>819</v>
      </c>
      <c r="I43" s="47">
        <f t="shared" si="7"/>
        <v>819</v>
      </c>
      <c r="J43" s="47">
        <f t="shared" si="7"/>
        <v>819</v>
      </c>
      <c r="K43" s="47">
        <f t="shared" si="7"/>
        <v>819</v>
      </c>
    </row>
    <row r="44" spans="1:11" ht="14.25" customHeight="1" x14ac:dyDescent="0.2">
      <c r="A44" s="40" t="s">
        <v>59</v>
      </c>
      <c r="B44" s="47">
        <v>1551</v>
      </c>
      <c r="C44" s="47">
        <v>1553</v>
      </c>
      <c r="D44" s="47">
        <v>1335</v>
      </c>
      <c r="E44" s="47">
        <v>1551</v>
      </c>
      <c r="F44" s="47">
        <v>1509</v>
      </c>
      <c r="G44" s="48">
        <v>1663</v>
      </c>
      <c r="H44" s="47">
        <f t="shared" si="7"/>
        <v>1663</v>
      </c>
      <c r="I44" s="47">
        <f t="shared" si="7"/>
        <v>1663</v>
      </c>
      <c r="J44" s="47">
        <f t="shared" si="7"/>
        <v>1663</v>
      </c>
      <c r="K44" s="47">
        <f t="shared" si="7"/>
        <v>1663</v>
      </c>
    </row>
    <row r="45" spans="1:11" ht="14.25" customHeight="1" x14ac:dyDescent="0.2">
      <c r="A45" s="40" t="s">
        <v>60</v>
      </c>
      <c r="B45" s="47">
        <v>5986</v>
      </c>
      <c r="C45" s="47">
        <v>6141</v>
      </c>
      <c r="D45" s="47">
        <v>6325</v>
      </c>
      <c r="E45" s="47">
        <v>6454</v>
      </c>
      <c r="F45" s="47">
        <v>6583</v>
      </c>
      <c r="G45" s="48">
        <v>6649</v>
      </c>
      <c r="H45" s="47">
        <f t="shared" si="7"/>
        <v>6649</v>
      </c>
      <c r="I45" s="47">
        <f t="shared" si="7"/>
        <v>6649</v>
      </c>
      <c r="J45" s="47">
        <f t="shared" si="7"/>
        <v>6649</v>
      </c>
      <c r="K45" s="47">
        <f t="shared" si="7"/>
        <v>6649</v>
      </c>
    </row>
    <row r="46" spans="1:11" ht="14.25" customHeight="1" x14ac:dyDescent="0.2">
      <c r="A46" s="40" t="s">
        <v>61</v>
      </c>
      <c r="B46" s="47">
        <v>1359</v>
      </c>
      <c r="C46" s="47">
        <v>1324</v>
      </c>
      <c r="D46" s="47">
        <v>1076</v>
      </c>
      <c r="E46" s="47">
        <v>4231</v>
      </c>
      <c r="F46" s="47">
        <v>3592</v>
      </c>
      <c r="G46" s="48">
        <v>3685</v>
      </c>
      <c r="H46" s="47">
        <f t="shared" si="7"/>
        <v>3685</v>
      </c>
      <c r="I46" s="47">
        <f t="shared" si="7"/>
        <v>3685</v>
      </c>
      <c r="J46" s="47">
        <f t="shared" si="7"/>
        <v>3685</v>
      </c>
      <c r="K46" s="47">
        <f t="shared" si="7"/>
        <v>3685</v>
      </c>
    </row>
    <row r="47" spans="1:11" s="37" customFormat="1" ht="14.25" customHeight="1" x14ac:dyDescent="0.2">
      <c r="A47" s="36" t="s">
        <v>235</v>
      </c>
      <c r="B47" s="50">
        <f t="shared" ref="B47:K47" si="8">SUM(B42:B46)</f>
        <v>9841</v>
      </c>
      <c r="C47" s="50">
        <f t="shared" si="8"/>
        <v>10033</v>
      </c>
      <c r="D47" s="50">
        <f t="shared" si="8"/>
        <v>9977</v>
      </c>
      <c r="E47" s="50">
        <f t="shared" si="8"/>
        <v>13700</v>
      </c>
      <c r="F47" s="50">
        <f t="shared" si="8"/>
        <v>13488</v>
      </c>
      <c r="G47" s="51">
        <f t="shared" si="8"/>
        <v>13810</v>
      </c>
      <c r="H47" s="50">
        <f t="shared" si="8"/>
        <v>13810</v>
      </c>
      <c r="I47" s="50">
        <f t="shared" si="8"/>
        <v>13810</v>
      </c>
      <c r="J47" s="50">
        <f t="shared" si="8"/>
        <v>13810</v>
      </c>
      <c r="K47" s="50">
        <f t="shared" si="8"/>
        <v>13810</v>
      </c>
    </row>
    <row r="48" spans="1:11" ht="14.25" customHeight="1" x14ac:dyDescent="0.2">
      <c r="A48" s="46" t="s">
        <v>62</v>
      </c>
      <c r="B48" s="49"/>
      <c r="C48" s="49"/>
      <c r="D48" s="49"/>
      <c r="E48" s="49"/>
      <c r="F48" s="49"/>
      <c r="G48" s="53"/>
      <c r="H48" s="49"/>
      <c r="I48" s="49"/>
      <c r="J48" s="49"/>
      <c r="K48" s="49"/>
    </row>
    <row r="49" spans="1:11" ht="14.25" customHeight="1" x14ac:dyDescent="0.2">
      <c r="A49" s="40" t="s">
        <v>56</v>
      </c>
      <c r="B49" s="49"/>
      <c r="C49" s="49"/>
      <c r="D49" s="49"/>
      <c r="E49" s="49"/>
      <c r="F49" s="49"/>
      <c r="G49" s="53"/>
      <c r="H49" s="49"/>
      <c r="I49" s="49"/>
      <c r="J49" s="49"/>
      <c r="K49" s="49"/>
    </row>
    <row r="50" spans="1:11" ht="14.25" customHeight="1" x14ac:dyDescent="0.2">
      <c r="A50" s="40" t="s">
        <v>57</v>
      </c>
      <c r="B50" s="47">
        <v>264</v>
      </c>
      <c r="C50" s="47">
        <v>285</v>
      </c>
      <c r="D50" s="47">
        <v>293</v>
      </c>
      <c r="E50" s="47">
        <v>340</v>
      </c>
      <c r="F50" s="47">
        <v>380</v>
      </c>
      <c r="G50" s="48">
        <v>331</v>
      </c>
      <c r="H50" s="47">
        <f>G50</f>
        <v>331</v>
      </c>
      <c r="I50" s="47">
        <f>H50</f>
        <v>331</v>
      </c>
      <c r="J50" s="47">
        <f>I50</f>
        <v>331</v>
      </c>
      <c r="K50" s="47">
        <f>J50</f>
        <v>331</v>
      </c>
    </row>
    <row r="51" spans="1:11" ht="14.25" customHeight="1" x14ac:dyDescent="0.2">
      <c r="A51" s="35" t="s">
        <v>63</v>
      </c>
      <c r="B51" s="54"/>
      <c r="C51" s="54"/>
      <c r="D51" s="54"/>
      <c r="E51" s="54"/>
      <c r="F51" s="54"/>
      <c r="G51" s="56"/>
      <c r="H51" s="49"/>
      <c r="I51" s="49"/>
      <c r="J51" s="49"/>
      <c r="K51" s="49"/>
    </row>
    <row r="52" spans="1:11" ht="14.25" customHeight="1" x14ac:dyDescent="0.2">
      <c r="A52" s="41" t="s">
        <v>64</v>
      </c>
      <c r="B52" s="47">
        <v>64</v>
      </c>
      <c r="C52" s="47">
        <v>56</v>
      </c>
      <c r="D52" s="47">
        <v>89</v>
      </c>
      <c r="E52" s="47">
        <v>222</v>
      </c>
      <c r="F52" s="47">
        <v>231</v>
      </c>
      <c r="G52" s="48">
        <v>396</v>
      </c>
      <c r="H52" s="47">
        <v>0</v>
      </c>
      <c r="I52" s="47">
        <v>0</v>
      </c>
      <c r="J52" s="47">
        <v>0</v>
      </c>
      <c r="K52" s="47">
        <v>0</v>
      </c>
    </row>
    <row r="53" spans="1:11" ht="14.25" customHeight="1" x14ac:dyDescent="0.2">
      <c r="A53" s="41" t="s">
        <v>65</v>
      </c>
      <c r="B53" s="47">
        <v>8563</v>
      </c>
      <c r="C53" s="47">
        <v>8808</v>
      </c>
      <c r="D53" s="47">
        <v>9302</v>
      </c>
      <c r="E53" s="47">
        <v>9926</v>
      </c>
      <c r="F53" s="47">
        <v>10767</v>
      </c>
      <c r="G53" s="48">
        <v>12517</v>
      </c>
      <c r="H53" s="53">
        <f>(Assumption!G16/365)*'FY 26-27E Projected'!I11</f>
        <v>13733.701549081217</v>
      </c>
      <c r="I53" s="53">
        <f>(Assumption!H16/365)*'FY 26-27E Projected'!J11</f>
        <v>15295.101248977609</v>
      </c>
      <c r="J53" s="53">
        <f>(Assumption!I16/365)*'FY 26-27E Projected'!K11</f>
        <v>16999.038277661901</v>
      </c>
      <c r="K53" s="53">
        <f>(Assumption!J16/365)*'FY 26-27E Projected'!L11</f>
        <v>18857.294778620213</v>
      </c>
    </row>
    <row r="54" spans="1:11" ht="14.25" customHeight="1" x14ac:dyDescent="0.2">
      <c r="A54" s="40" t="s">
        <v>58</v>
      </c>
      <c r="B54" s="47">
        <v>892</v>
      </c>
      <c r="C54" s="47">
        <v>823</v>
      </c>
      <c r="D54" s="47">
        <v>829</v>
      </c>
      <c r="E54" s="47">
        <v>797</v>
      </c>
      <c r="F54" s="47">
        <v>825</v>
      </c>
      <c r="G54" s="48">
        <v>760</v>
      </c>
      <c r="H54" s="47">
        <f t="shared" ref="H54:K57" si="9">G54</f>
        <v>760</v>
      </c>
      <c r="I54" s="47">
        <f t="shared" si="9"/>
        <v>760</v>
      </c>
      <c r="J54" s="47">
        <f t="shared" si="9"/>
        <v>760</v>
      </c>
      <c r="K54" s="47">
        <f t="shared" si="9"/>
        <v>760</v>
      </c>
    </row>
    <row r="55" spans="1:11" ht="14.25" customHeight="1" x14ac:dyDescent="0.2">
      <c r="A55" s="40" t="s">
        <v>66</v>
      </c>
      <c r="B55" s="47">
        <v>567</v>
      </c>
      <c r="C55" s="47">
        <v>638</v>
      </c>
      <c r="D55" s="47">
        <v>735</v>
      </c>
      <c r="E55" s="47">
        <v>789</v>
      </c>
      <c r="F55" s="47">
        <v>921</v>
      </c>
      <c r="G55" s="48">
        <v>688</v>
      </c>
      <c r="H55" s="47">
        <f t="shared" si="9"/>
        <v>688</v>
      </c>
      <c r="I55" s="47">
        <f t="shared" si="9"/>
        <v>688</v>
      </c>
      <c r="J55" s="47">
        <f t="shared" si="9"/>
        <v>688</v>
      </c>
      <c r="K55" s="47">
        <f t="shared" si="9"/>
        <v>688</v>
      </c>
    </row>
    <row r="56" spans="1:11" ht="14.25" customHeight="1" x14ac:dyDescent="0.2">
      <c r="A56" s="40" t="s">
        <v>59</v>
      </c>
      <c r="B56" s="47">
        <v>491</v>
      </c>
      <c r="C56" s="47">
        <v>334</v>
      </c>
      <c r="D56" s="47">
        <v>379</v>
      </c>
      <c r="E56" s="47">
        <v>329</v>
      </c>
      <c r="F56" s="47">
        <v>661</v>
      </c>
      <c r="G56" s="48">
        <v>257</v>
      </c>
      <c r="H56" s="47">
        <f t="shared" si="9"/>
        <v>257</v>
      </c>
      <c r="I56" s="47">
        <f t="shared" si="9"/>
        <v>257</v>
      </c>
      <c r="J56" s="47">
        <f t="shared" si="9"/>
        <v>257</v>
      </c>
      <c r="K56" s="47">
        <f t="shared" si="9"/>
        <v>257</v>
      </c>
    </row>
    <row r="57" spans="1:11" ht="14.25" customHeight="1" x14ac:dyDescent="0.2">
      <c r="A57" s="40" t="s">
        <v>67</v>
      </c>
      <c r="B57" s="54"/>
      <c r="C57" s="54"/>
      <c r="D57" s="54" t="s">
        <v>47</v>
      </c>
      <c r="E57" s="54" t="s">
        <v>47</v>
      </c>
      <c r="F57" s="54">
        <v>1887</v>
      </c>
      <c r="G57" s="56">
        <v>0</v>
      </c>
      <c r="H57" s="54">
        <f t="shared" si="9"/>
        <v>0</v>
      </c>
      <c r="I57" s="54">
        <f t="shared" si="9"/>
        <v>0</v>
      </c>
      <c r="J57" s="54">
        <f t="shared" si="9"/>
        <v>0</v>
      </c>
      <c r="K57" s="54">
        <f t="shared" si="9"/>
        <v>0</v>
      </c>
    </row>
    <row r="58" spans="1:11" s="37" customFormat="1" ht="14.25" customHeight="1" x14ac:dyDescent="0.2">
      <c r="A58" s="35" t="s">
        <v>236</v>
      </c>
      <c r="B58" s="52">
        <f t="shared" ref="B58:K58" si="10">SUM(B50:B57)</f>
        <v>10841</v>
      </c>
      <c r="C58" s="52">
        <f t="shared" si="10"/>
        <v>10944</v>
      </c>
      <c r="D58" s="52">
        <f t="shared" si="10"/>
        <v>11627</v>
      </c>
      <c r="E58" s="52">
        <f t="shared" si="10"/>
        <v>12403</v>
      </c>
      <c r="F58" s="52">
        <f t="shared" si="10"/>
        <v>15672</v>
      </c>
      <c r="G58" s="55">
        <f t="shared" si="10"/>
        <v>14949</v>
      </c>
      <c r="H58" s="52">
        <f t="shared" si="10"/>
        <v>15769.701549081217</v>
      </c>
      <c r="I58" s="52">
        <f t="shared" si="10"/>
        <v>17331.101248977611</v>
      </c>
      <c r="J58" s="52">
        <f t="shared" si="10"/>
        <v>19035.038277661901</v>
      </c>
      <c r="K58" s="52">
        <f t="shared" si="10"/>
        <v>20893.294778620213</v>
      </c>
    </row>
    <row r="59" spans="1:11" ht="14.25" customHeight="1" x14ac:dyDescent="0.2">
      <c r="A59" s="57" t="s">
        <v>237</v>
      </c>
      <c r="B59" s="50">
        <f>SUM(B38+B47+B58)</f>
        <v>68116</v>
      </c>
      <c r="C59" s="50">
        <f>SUM(C38+C47+C58)</f>
        <v>69737</v>
      </c>
      <c r="D59" s="50">
        <f>SUM(D38+D47+D58)</f>
        <v>71825</v>
      </c>
      <c r="E59" s="50">
        <f>SUM(E38+E47+E58)</f>
        <v>77076</v>
      </c>
      <c r="F59" s="50">
        <f t="shared" ref="F59:K59" si="11">F58+F47+F38</f>
        <v>78313</v>
      </c>
      <c r="G59" s="51">
        <f t="shared" si="11"/>
        <v>77982</v>
      </c>
      <c r="H59" s="50">
        <f t="shared" si="11"/>
        <v>80070.55931983034</v>
      </c>
      <c r="I59" s="50">
        <f t="shared" si="11"/>
        <v>82973.182314283767</v>
      </c>
      <c r="J59" s="50">
        <f t="shared" si="11"/>
        <v>86096.131496513728</v>
      </c>
      <c r="K59" s="50">
        <f t="shared" si="11"/>
        <v>89455.878063762619</v>
      </c>
    </row>
    <row r="61" spans="1:11" x14ac:dyDescent="0.2">
      <c r="A61" s="38" t="s">
        <v>68</v>
      </c>
      <c r="B61" s="39">
        <f t="shared" ref="B61:K61" si="12">ROUND(B33 - B59, 0)</f>
        <v>0</v>
      </c>
      <c r="C61" s="39">
        <f t="shared" si="12"/>
        <v>0</v>
      </c>
      <c r="D61" s="39">
        <f t="shared" si="12"/>
        <v>0</v>
      </c>
      <c r="E61" s="39">
        <f t="shared" si="12"/>
        <v>0</v>
      </c>
      <c r="F61" s="39">
        <f t="shared" si="12"/>
        <v>0</v>
      </c>
      <c r="G61" s="39">
        <f t="shared" si="12"/>
        <v>0</v>
      </c>
      <c r="H61" s="39">
        <f t="shared" si="12"/>
        <v>0</v>
      </c>
      <c r="I61" s="39">
        <f t="shared" si="12"/>
        <v>0</v>
      </c>
      <c r="J61" s="39">
        <f t="shared" si="12"/>
        <v>0</v>
      </c>
      <c r="K61" s="39">
        <f t="shared" si="12"/>
        <v>0</v>
      </c>
    </row>
  </sheetData>
  <mergeCells count="1">
    <mergeCell ref="A2:K2"/>
  </mergeCells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499984740745262"/>
  </sheetPr>
  <dimension ref="A1:K76"/>
  <sheetViews>
    <sheetView topLeftCell="A61" zoomScaleNormal="100" workbookViewId="0">
      <pane xSplit="1" topLeftCell="B1" activePane="topRight" state="frozen"/>
      <selection activeCell="C20" sqref="C20"/>
      <selection pane="topRight" activeCell="E8" sqref="E8"/>
    </sheetView>
  </sheetViews>
  <sheetFormatPr defaultColWidth="8.7109375" defaultRowHeight="12.75" x14ac:dyDescent="0.2"/>
  <cols>
    <col min="1" max="1" width="76.42578125" style="24" bestFit="1" customWidth="1"/>
    <col min="2" max="7" width="16.28515625" style="24" bestFit="1" customWidth="1"/>
    <col min="8" max="11" width="20.7109375" style="24" bestFit="1" customWidth="1"/>
    <col min="12" max="16384" width="8.7109375" style="24"/>
  </cols>
  <sheetData>
    <row r="1" spans="1:11" ht="18" x14ac:dyDescent="0.2">
      <c r="A1" s="64" t="s">
        <v>69</v>
      </c>
      <c r="B1" s="64"/>
      <c r="C1" s="64"/>
      <c r="D1" s="64"/>
      <c r="E1" s="64"/>
      <c r="F1" s="64"/>
      <c r="G1" s="64"/>
      <c r="H1" s="64"/>
      <c r="I1" s="64"/>
      <c r="J1" s="64"/>
      <c r="K1" s="64"/>
    </row>
    <row r="2" spans="1:11" x14ac:dyDescent="0.2">
      <c r="A2" s="65" t="s">
        <v>230</v>
      </c>
      <c r="B2" s="65"/>
      <c r="C2" s="65"/>
      <c r="D2" s="65"/>
      <c r="E2" s="65"/>
      <c r="F2" s="65"/>
      <c r="G2" s="65"/>
    </row>
    <row r="3" spans="1:11" s="58" customFormat="1" ht="25.5" x14ac:dyDescent="0.25">
      <c r="A3" s="28" t="s">
        <v>1</v>
      </c>
      <c r="B3" s="29" t="s">
        <v>21</v>
      </c>
      <c r="C3" s="29" t="s">
        <v>22</v>
      </c>
      <c r="D3" s="29" t="s">
        <v>23</v>
      </c>
      <c r="E3" s="29" t="s">
        <v>24</v>
      </c>
      <c r="F3" s="29" t="s">
        <v>25</v>
      </c>
      <c r="G3" s="29" t="s">
        <v>26</v>
      </c>
      <c r="H3" s="30" t="s">
        <v>176</v>
      </c>
      <c r="I3" s="30" t="s">
        <v>177</v>
      </c>
      <c r="J3" s="30" t="s">
        <v>178</v>
      </c>
      <c r="K3" s="30" t="s">
        <v>179</v>
      </c>
    </row>
    <row r="4" spans="1:11" x14ac:dyDescent="0.2">
      <c r="A4" s="66" t="s">
        <v>70</v>
      </c>
      <c r="B4" s="59"/>
      <c r="C4" s="59"/>
      <c r="D4" s="59"/>
      <c r="E4" s="59"/>
      <c r="F4" s="60"/>
      <c r="G4" s="60"/>
      <c r="H4" s="60"/>
    </row>
    <row r="5" spans="1:11" s="62" customFormat="1" x14ac:dyDescent="0.2">
      <c r="A5" s="61" t="s">
        <v>71</v>
      </c>
      <c r="B5" s="74">
        <v>10490</v>
      </c>
      <c r="C5" s="74">
        <v>11739</v>
      </c>
      <c r="D5" s="74">
        <v>13079</v>
      </c>
      <c r="E5" s="74">
        <v>13675</v>
      </c>
      <c r="F5" s="74">
        <v>14313</v>
      </c>
      <c r="G5" s="74">
        <v>14080</v>
      </c>
      <c r="H5" s="75">
        <f>'FY 26-27E Projected'!I22</f>
        <v>14837.304716610219</v>
      </c>
      <c r="I5" s="75">
        <f>'FY 26-27E Projected'!J22</f>
        <v>15695.876283189566</v>
      </c>
      <c r="J5" s="75">
        <f>'FY 26-27E Projected'!K22</f>
        <v>16606.212624536216</v>
      </c>
      <c r="K5" s="75">
        <f>'FY 26-27E Projected'!L22</f>
        <v>17571.423354020037</v>
      </c>
    </row>
    <row r="6" spans="1:11" x14ac:dyDescent="0.2">
      <c r="A6" s="63" t="s">
        <v>72</v>
      </c>
      <c r="B6" s="76" t="s">
        <v>47</v>
      </c>
      <c r="C6" s="76" t="s">
        <v>47</v>
      </c>
      <c r="D6" s="76" t="s">
        <v>47</v>
      </c>
      <c r="E6" s="76" t="s">
        <v>47</v>
      </c>
      <c r="F6" s="77">
        <v>-13</v>
      </c>
      <c r="G6" s="77">
        <v>4336</v>
      </c>
      <c r="H6" s="47">
        <v>0</v>
      </c>
      <c r="I6" s="47">
        <v>0</v>
      </c>
      <c r="J6" s="47">
        <v>0</v>
      </c>
      <c r="K6" s="47">
        <v>0</v>
      </c>
    </row>
    <row r="7" spans="1:11" x14ac:dyDescent="0.2">
      <c r="A7" s="63" t="s">
        <v>73</v>
      </c>
      <c r="B7" s="47"/>
      <c r="C7" s="47"/>
      <c r="D7" s="47"/>
      <c r="E7" s="47"/>
      <c r="F7" s="47"/>
      <c r="G7" s="47"/>
      <c r="H7" s="49"/>
      <c r="I7" s="49"/>
      <c r="J7" s="49"/>
      <c r="K7" s="49"/>
    </row>
    <row r="8" spans="1:11" x14ac:dyDescent="0.2">
      <c r="A8" s="67" t="s">
        <v>74</v>
      </c>
      <c r="B8" s="47">
        <v>1069</v>
      </c>
      <c r="C8" s="47">
        <v>1040</v>
      </c>
      <c r="D8" s="47">
        <v>1045</v>
      </c>
      <c r="E8" s="47">
        <v>1097</v>
      </c>
      <c r="F8" s="47">
        <v>1232</v>
      </c>
      <c r="G8" s="47">
        <v>1289</v>
      </c>
      <c r="H8" s="49">
        <f>'FY 26-27E Projected'!I16</f>
        <v>1306.6600598739826</v>
      </c>
      <c r="I8" s="49">
        <f>'FY 26-27E Projected'!J16</f>
        <v>1430.0798963037143</v>
      </c>
      <c r="J8" s="49">
        <f>'FY 26-27E Projected'!K16</f>
        <v>1563.882776814505</v>
      </c>
      <c r="K8" s="49">
        <f>'FY 26-27E Projected'!L16</f>
        <v>1708.8882692844613</v>
      </c>
    </row>
    <row r="9" spans="1:11" x14ac:dyDescent="0.2">
      <c r="A9" s="67" t="s">
        <v>75</v>
      </c>
      <c r="B9" s="47">
        <v>13</v>
      </c>
      <c r="C9" s="54" t="s">
        <v>47</v>
      </c>
      <c r="D9" s="54" t="s">
        <v>47</v>
      </c>
      <c r="E9" s="54" t="s">
        <v>47</v>
      </c>
      <c r="F9" s="54" t="s">
        <v>47</v>
      </c>
      <c r="G9" s="54" t="s">
        <v>47</v>
      </c>
      <c r="H9" s="47">
        <v>0</v>
      </c>
      <c r="I9" s="47">
        <v>0</v>
      </c>
      <c r="J9" s="47">
        <v>0</v>
      </c>
      <c r="K9" s="47">
        <v>0</v>
      </c>
    </row>
    <row r="10" spans="1:11" x14ac:dyDescent="0.2">
      <c r="A10" s="67" t="s">
        <v>76</v>
      </c>
      <c r="B10" s="47">
        <v>-22</v>
      </c>
      <c r="C10" s="47">
        <v>-9</v>
      </c>
      <c r="D10" s="47">
        <v>-2</v>
      </c>
      <c r="E10" s="54" t="s">
        <v>47</v>
      </c>
      <c r="F10" s="54" t="s">
        <v>47</v>
      </c>
      <c r="G10" s="54" t="s">
        <v>47</v>
      </c>
      <c r="H10" s="47">
        <v>0</v>
      </c>
      <c r="I10" s="47">
        <v>0</v>
      </c>
      <c r="J10" s="47">
        <v>0</v>
      </c>
      <c r="K10" s="47">
        <v>0</v>
      </c>
    </row>
    <row r="11" spans="1:11" x14ac:dyDescent="0.2">
      <c r="A11" s="67" t="s">
        <v>77</v>
      </c>
      <c r="B11" s="47">
        <v>-57</v>
      </c>
      <c r="C11" s="47">
        <v>-99</v>
      </c>
      <c r="D11" s="47">
        <v>-102</v>
      </c>
      <c r="E11" s="47">
        <v>17</v>
      </c>
      <c r="F11" s="47">
        <v>15</v>
      </c>
      <c r="G11" s="47">
        <v>39</v>
      </c>
      <c r="H11" s="47">
        <v>0</v>
      </c>
      <c r="I11" s="47">
        <v>0</v>
      </c>
      <c r="J11" s="47">
        <v>0</v>
      </c>
      <c r="K11" s="47">
        <v>0</v>
      </c>
    </row>
    <row r="12" spans="1:11" x14ac:dyDescent="0.2">
      <c r="A12" s="67" t="s">
        <v>78</v>
      </c>
      <c r="B12" s="76" t="s">
        <v>47</v>
      </c>
      <c r="C12" s="76" t="s">
        <v>47</v>
      </c>
      <c r="D12" s="76" t="s">
        <v>47</v>
      </c>
      <c r="E12" s="47">
        <v>-37</v>
      </c>
      <c r="F12" s="47">
        <v>5</v>
      </c>
      <c r="G12" s="47">
        <v>34</v>
      </c>
      <c r="H12" s="47">
        <v>0</v>
      </c>
      <c r="I12" s="47">
        <v>0</v>
      </c>
      <c r="J12" s="47">
        <v>0</v>
      </c>
      <c r="K12" s="47">
        <v>0</v>
      </c>
    </row>
    <row r="13" spans="1:11" x14ac:dyDescent="0.2">
      <c r="A13" s="67" t="s">
        <v>79</v>
      </c>
      <c r="B13" s="47">
        <v>-350</v>
      </c>
      <c r="C13" s="47">
        <v>-207</v>
      </c>
      <c r="D13" s="47">
        <v>-425</v>
      </c>
      <c r="E13" s="47">
        <v>-551</v>
      </c>
      <c r="F13" s="47">
        <v>-763</v>
      </c>
      <c r="G13" s="47">
        <v>-546</v>
      </c>
      <c r="H13" s="47">
        <v>0</v>
      </c>
      <c r="I13" s="47">
        <v>0</v>
      </c>
      <c r="J13" s="47">
        <v>0</v>
      </c>
      <c r="K13" s="47">
        <v>0</v>
      </c>
    </row>
    <row r="14" spans="1:11" x14ac:dyDescent="0.2">
      <c r="A14" s="67" t="s">
        <v>80</v>
      </c>
      <c r="B14" s="47">
        <v>-102</v>
      </c>
      <c r="C14" s="47">
        <v>-131</v>
      </c>
      <c r="D14" s="47">
        <v>-118</v>
      </c>
      <c r="E14" s="47">
        <v>-176</v>
      </c>
      <c r="F14" s="47">
        <v>-169</v>
      </c>
      <c r="G14" s="47">
        <v>-230</v>
      </c>
      <c r="H14" s="47">
        <v>0</v>
      </c>
      <c r="I14" s="47">
        <v>0</v>
      </c>
      <c r="J14" s="47">
        <v>0</v>
      </c>
      <c r="K14" s="47">
        <v>0</v>
      </c>
    </row>
    <row r="15" spans="1:11" x14ac:dyDescent="0.2">
      <c r="A15" s="67" t="s">
        <v>81</v>
      </c>
      <c r="B15" s="47">
        <v>-61</v>
      </c>
      <c r="C15" s="47">
        <v>-55</v>
      </c>
      <c r="D15" s="47">
        <v>-97</v>
      </c>
      <c r="E15" s="47">
        <v>-246</v>
      </c>
      <c r="F15" s="47">
        <v>-245</v>
      </c>
      <c r="G15" s="47">
        <v>-183</v>
      </c>
      <c r="H15" s="47">
        <v>0</v>
      </c>
      <c r="I15" s="47">
        <v>0</v>
      </c>
      <c r="J15" s="47">
        <v>0</v>
      </c>
      <c r="K15" s="47">
        <v>0</v>
      </c>
    </row>
    <row r="16" spans="1:11" x14ac:dyDescent="0.2">
      <c r="A16" s="67" t="s">
        <v>82</v>
      </c>
      <c r="B16" s="76" t="s">
        <v>47</v>
      </c>
      <c r="C16" s="76" t="s">
        <v>47</v>
      </c>
      <c r="D16" s="76" t="s">
        <v>47</v>
      </c>
      <c r="E16" s="76" t="s">
        <v>47</v>
      </c>
      <c r="F16" s="54" t="s">
        <v>47</v>
      </c>
      <c r="G16" s="47">
        <v>-228</v>
      </c>
      <c r="H16" s="47">
        <v>0</v>
      </c>
      <c r="I16" s="47">
        <v>0</v>
      </c>
      <c r="J16" s="47">
        <v>0</v>
      </c>
      <c r="K16" s="47">
        <v>0</v>
      </c>
    </row>
    <row r="17" spans="1:11" x14ac:dyDescent="0.2">
      <c r="A17" s="67" t="s">
        <v>83</v>
      </c>
      <c r="B17" s="47">
        <v>108</v>
      </c>
      <c r="C17" s="47">
        <v>98</v>
      </c>
      <c r="D17" s="47">
        <v>101</v>
      </c>
      <c r="E17" s="47">
        <v>285</v>
      </c>
      <c r="F17" s="47">
        <v>341</v>
      </c>
      <c r="G17" s="47">
        <v>376</v>
      </c>
      <c r="H17" s="47">
        <v>0</v>
      </c>
      <c r="I17" s="47">
        <v>0</v>
      </c>
      <c r="J17" s="47">
        <v>0</v>
      </c>
      <c r="K17" s="47">
        <v>0</v>
      </c>
    </row>
    <row r="18" spans="1:11" x14ac:dyDescent="0.2">
      <c r="A18" s="67" t="s">
        <v>84</v>
      </c>
      <c r="B18" s="76" t="s">
        <v>47</v>
      </c>
      <c r="C18" s="76" t="s">
        <v>47</v>
      </c>
      <c r="D18" s="76" t="s">
        <v>47</v>
      </c>
      <c r="E18" s="76" t="s">
        <v>47</v>
      </c>
      <c r="F18" s="47">
        <v>-595</v>
      </c>
      <c r="G18" s="54" t="s">
        <v>47</v>
      </c>
      <c r="H18" s="47">
        <v>0</v>
      </c>
      <c r="I18" s="47">
        <v>0</v>
      </c>
      <c r="J18" s="47">
        <v>0</v>
      </c>
      <c r="K18" s="47">
        <v>0</v>
      </c>
    </row>
    <row r="19" spans="1:11" x14ac:dyDescent="0.2">
      <c r="A19" s="67" t="s">
        <v>85</v>
      </c>
      <c r="B19" s="76" t="s">
        <v>47</v>
      </c>
      <c r="C19" s="76" t="s">
        <v>47</v>
      </c>
      <c r="D19" s="76" t="s">
        <v>47</v>
      </c>
      <c r="E19" s="54">
        <v>-159</v>
      </c>
      <c r="F19" s="54" t="s">
        <v>47</v>
      </c>
      <c r="G19" s="54" t="s">
        <v>47</v>
      </c>
      <c r="H19" s="47">
        <v>0</v>
      </c>
      <c r="I19" s="47">
        <v>0</v>
      </c>
      <c r="J19" s="47">
        <v>0</v>
      </c>
      <c r="K19" s="47">
        <v>0</v>
      </c>
    </row>
    <row r="20" spans="1:11" x14ac:dyDescent="0.2">
      <c r="A20" s="67" t="s">
        <v>86</v>
      </c>
      <c r="B20" s="76" t="s">
        <v>47</v>
      </c>
      <c r="C20" s="76" t="s">
        <v>47</v>
      </c>
      <c r="D20" s="76" t="s">
        <v>47</v>
      </c>
      <c r="E20" s="76" t="s">
        <v>47</v>
      </c>
      <c r="F20" s="54" t="s">
        <v>47</v>
      </c>
      <c r="G20" s="47">
        <v>34</v>
      </c>
      <c r="H20" s="47">
        <v>0</v>
      </c>
      <c r="I20" s="47">
        <v>0</v>
      </c>
      <c r="J20" s="47">
        <v>0</v>
      </c>
      <c r="K20" s="47">
        <v>0</v>
      </c>
    </row>
    <row r="21" spans="1:11" x14ac:dyDescent="0.2">
      <c r="A21" s="67" t="s">
        <v>87</v>
      </c>
      <c r="B21" s="47">
        <v>195</v>
      </c>
      <c r="C21" s="47">
        <v>145</v>
      </c>
      <c r="D21" s="47">
        <v>176</v>
      </c>
      <c r="E21" s="47">
        <v>155</v>
      </c>
      <c r="F21" s="47">
        <v>189</v>
      </c>
      <c r="G21" s="47">
        <v>225</v>
      </c>
      <c r="H21" s="47">
        <v>0</v>
      </c>
      <c r="I21" s="47">
        <v>0</v>
      </c>
      <c r="J21" s="47">
        <v>0</v>
      </c>
      <c r="K21" s="47">
        <v>0</v>
      </c>
    </row>
    <row r="22" spans="1:11" x14ac:dyDescent="0.2">
      <c r="A22" s="67" t="s">
        <v>88</v>
      </c>
      <c r="B22" s="47">
        <v>74</v>
      </c>
      <c r="C22" s="47">
        <v>-17</v>
      </c>
      <c r="D22" s="47">
        <v>-34</v>
      </c>
      <c r="E22" s="47">
        <v>-9</v>
      </c>
      <c r="F22" s="47">
        <v>18</v>
      </c>
      <c r="G22" s="47">
        <v>16</v>
      </c>
      <c r="H22" s="47">
        <v>0</v>
      </c>
      <c r="I22" s="47">
        <v>0</v>
      </c>
      <c r="J22" s="47">
        <v>0</v>
      </c>
      <c r="K22" s="47">
        <v>0</v>
      </c>
    </row>
    <row r="23" spans="1:11" x14ac:dyDescent="0.2">
      <c r="A23" s="67" t="s">
        <v>89</v>
      </c>
      <c r="B23" s="76" t="s">
        <v>47</v>
      </c>
      <c r="C23" s="47"/>
      <c r="D23" s="47">
        <v>2</v>
      </c>
      <c r="E23" s="76" t="s">
        <v>47</v>
      </c>
      <c r="F23" s="76" t="s">
        <v>47</v>
      </c>
      <c r="G23" s="76" t="s">
        <v>47</v>
      </c>
      <c r="H23" s="47">
        <v>0</v>
      </c>
      <c r="I23" s="47">
        <v>0</v>
      </c>
      <c r="J23" s="47">
        <v>0</v>
      </c>
      <c r="K23" s="47">
        <v>0</v>
      </c>
    </row>
    <row r="24" spans="1:11" x14ac:dyDescent="0.2">
      <c r="A24" s="67" t="s">
        <v>90</v>
      </c>
      <c r="B24" s="76" t="s">
        <v>47</v>
      </c>
      <c r="C24" s="47">
        <v>-29</v>
      </c>
      <c r="D24" s="47">
        <v>-60</v>
      </c>
      <c r="E24" s="76" t="s">
        <v>47</v>
      </c>
      <c r="F24" s="76" t="s">
        <v>47</v>
      </c>
      <c r="G24" s="76" t="s">
        <v>47</v>
      </c>
      <c r="H24" s="47">
        <v>0</v>
      </c>
      <c r="I24" s="47">
        <v>0</v>
      </c>
      <c r="J24" s="47">
        <v>0</v>
      </c>
      <c r="K24" s="47">
        <v>0</v>
      </c>
    </row>
    <row r="25" spans="1:11" x14ac:dyDescent="0.2">
      <c r="A25" s="67" t="s">
        <v>91</v>
      </c>
      <c r="B25" s="76">
        <v>-2</v>
      </c>
      <c r="C25" s="76">
        <v>-1</v>
      </c>
      <c r="D25" s="76" t="s">
        <v>47</v>
      </c>
      <c r="E25" s="76" t="s">
        <v>47</v>
      </c>
      <c r="F25" s="47">
        <v>11</v>
      </c>
      <c r="G25" s="47">
        <v>16</v>
      </c>
      <c r="H25" s="47">
        <v>0</v>
      </c>
      <c r="I25" s="47">
        <v>0</v>
      </c>
      <c r="J25" s="47">
        <v>0</v>
      </c>
      <c r="K25" s="47">
        <v>0</v>
      </c>
    </row>
    <row r="26" spans="1:11" x14ac:dyDescent="0.2">
      <c r="A26" s="67" t="s">
        <v>92</v>
      </c>
      <c r="B26" s="76" t="s">
        <v>47</v>
      </c>
      <c r="C26" s="76" t="s">
        <v>47</v>
      </c>
      <c r="D26" s="76" t="s">
        <v>47</v>
      </c>
      <c r="E26" s="76" t="s">
        <v>47</v>
      </c>
      <c r="F26" s="54" t="s">
        <v>47</v>
      </c>
      <c r="G26" s="47">
        <v>-4611</v>
      </c>
      <c r="H26" s="47">
        <v>0</v>
      </c>
      <c r="I26" s="47">
        <v>0</v>
      </c>
      <c r="J26" s="47">
        <v>0</v>
      </c>
      <c r="K26" s="47">
        <v>0</v>
      </c>
    </row>
    <row r="27" spans="1:11" x14ac:dyDescent="0.2">
      <c r="A27" s="67" t="s">
        <v>93</v>
      </c>
      <c r="B27" s="47">
        <v>25</v>
      </c>
      <c r="C27" s="47">
        <v>-1</v>
      </c>
      <c r="D27" s="47">
        <v>-8</v>
      </c>
      <c r="E27" s="47">
        <v>-8</v>
      </c>
      <c r="F27" s="47">
        <v>4</v>
      </c>
      <c r="G27" s="47">
        <v>-109</v>
      </c>
      <c r="H27" s="47">
        <v>0</v>
      </c>
      <c r="I27" s="47">
        <v>0</v>
      </c>
      <c r="J27" s="47">
        <v>0</v>
      </c>
      <c r="K27" s="47">
        <v>0</v>
      </c>
    </row>
    <row r="28" spans="1:11" s="62" customFormat="1" x14ac:dyDescent="0.2">
      <c r="A28" s="61" t="s">
        <v>94</v>
      </c>
      <c r="B28" s="50">
        <f t="shared" ref="B28:K28" si="0">SUM(B5:B27)</f>
        <v>11380</v>
      </c>
      <c r="C28" s="50">
        <f t="shared" si="0"/>
        <v>12473</v>
      </c>
      <c r="D28" s="50">
        <f t="shared" si="0"/>
        <v>13557</v>
      </c>
      <c r="E28" s="50">
        <f t="shared" si="0"/>
        <v>14043</v>
      </c>
      <c r="F28" s="50">
        <f t="shared" si="0"/>
        <v>14343</v>
      </c>
      <c r="G28" s="50">
        <f t="shared" si="0"/>
        <v>14538</v>
      </c>
      <c r="H28" s="50">
        <f t="shared" si="0"/>
        <v>16143.964776484201</v>
      </c>
      <c r="I28" s="50">
        <f t="shared" si="0"/>
        <v>17125.956179493282</v>
      </c>
      <c r="J28" s="50">
        <f t="shared" si="0"/>
        <v>18170.095401350722</v>
      </c>
      <c r="K28" s="50">
        <f t="shared" si="0"/>
        <v>19280.311623304497</v>
      </c>
    </row>
    <row r="29" spans="1:11" x14ac:dyDescent="0.2">
      <c r="A29" s="63" t="s">
        <v>73</v>
      </c>
      <c r="B29" s="49"/>
      <c r="C29" s="49"/>
      <c r="D29" s="49"/>
      <c r="E29" s="49"/>
      <c r="F29" s="49"/>
      <c r="G29" s="49"/>
      <c r="H29" s="49"/>
      <c r="I29" s="49"/>
      <c r="J29" s="49"/>
      <c r="K29" s="49"/>
    </row>
    <row r="30" spans="1:11" x14ac:dyDescent="0.2">
      <c r="A30" s="67" t="s">
        <v>95</v>
      </c>
      <c r="B30" s="47">
        <v>1</v>
      </c>
      <c r="C30" s="47">
        <v>2</v>
      </c>
      <c r="D30" s="47">
        <v>-13</v>
      </c>
      <c r="E30" s="47">
        <v>-28</v>
      </c>
      <c r="F30" s="47">
        <v>-117</v>
      </c>
      <c r="G30" s="47">
        <v>17</v>
      </c>
      <c r="H30" s="47"/>
      <c r="I30" s="47"/>
      <c r="J30" s="47"/>
      <c r="K30" s="47"/>
    </row>
    <row r="31" spans="1:11" x14ac:dyDescent="0.2">
      <c r="A31" s="67" t="s">
        <v>96</v>
      </c>
      <c r="B31" s="47">
        <v>-395</v>
      </c>
      <c r="C31" s="47">
        <v>-257</v>
      </c>
      <c r="D31" s="47">
        <v>-1099</v>
      </c>
      <c r="E31" s="47">
        <v>170</v>
      </c>
      <c r="F31" s="47">
        <v>-1057</v>
      </c>
      <c r="G31" s="47">
        <v>-1</v>
      </c>
      <c r="H31" s="49">
        <f>-('Balance Sheet'!H24-'Balance Sheet'!G24)</f>
        <v>-63.726028962727014</v>
      </c>
      <c r="I31" s="49">
        <f>-('Balance Sheet'!I24-'Balance Sheet'!H24)</f>
        <v>-196.0376855346899</v>
      </c>
      <c r="J31" s="49">
        <f>-('Balance Sheet'!J24-'Balance Sheet'!I24)</f>
        <v>-208.43180671496566</v>
      </c>
      <c r="K31" s="49">
        <f>-('Balance Sheet'!K24-'Balance Sheet'!J24)</f>
        <v>-221.60952335247293</v>
      </c>
    </row>
    <row r="32" spans="1:11" x14ac:dyDescent="0.2">
      <c r="A32" s="67" t="s">
        <v>97</v>
      </c>
      <c r="B32" s="47">
        <v>-472</v>
      </c>
      <c r="C32" s="47">
        <v>-737</v>
      </c>
      <c r="D32" s="47">
        <v>-332</v>
      </c>
      <c r="E32" s="47">
        <v>77</v>
      </c>
      <c r="F32" s="47">
        <v>-540</v>
      </c>
      <c r="G32" s="47">
        <v>-630</v>
      </c>
      <c r="H32" s="49">
        <f>-('Balance Sheet'!H21-'Balance Sheet'!G21)</f>
        <v>-266.43032852241777</v>
      </c>
      <c r="I32" s="49">
        <f>-('Balance Sheet'!I21-'Balance Sheet'!H21)</f>
        <v>-293.95165910973265</v>
      </c>
      <c r="J32" s="49">
        <f>-('Balance Sheet'!J21-'Balance Sheet'!I21)</f>
        <v>-312.53621071883936</v>
      </c>
      <c r="K32" s="49">
        <f>-('Balance Sheet'!K21-'Balance Sheet'!J21)</f>
        <v>-332.29573633406926</v>
      </c>
    </row>
    <row r="33" spans="1:11" x14ac:dyDescent="0.2">
      <c r="A33" s="67" t="s">
        <v>98</v>
      </c>
      <c r="B33" s="47">
        <v>30</v>
      </c>
      <c r="C33" s="47">
        <v>92</v>
      </c>
      <c r="D33" s="47">
        <v>-115</v>
      </c>
      <c r="E33" s="47">
        <v>144</v>
      </c>
      <c r="F33" s="47">
        <v>22</v>
      </c>
      <c r="G33" s="47">
        <v>-169</v>
      </c>
      <c r="H33" s="47">
        <v>0</v>
      </c>
      <c r="I33" s="47">
        <v>0</v>
      </c>
      <c r="J33" s="47">
        <v>0</v>
      </c>
      <c r="K33" s="47">
        <v>0</v>
      </c>
    </row>
    <row r="34" spans="1:11" x14ac:dyDescent="0.2">
      <c r="A34" s="67" t="s">
        <v>99</v>
      </c>
      <c r="B34" s="47">
        <v>780</v>
      </c>
      <c r="C34" s="47">
        <v>111</v>
      </c>
      <c r="D34" s="47">
        <v>696</v>
      </c>
      <c r="E34" s="47">
        <v>773</v>
      </c>
      <c r="F34" s="47">
        <v>1138</v>
      </c>
      <c r="G34" s="47">
        <v>1467</v>
      </c>
      <c r="H34" s="49">
        <f>'Balance Sheet'!H58-'Balance Sheet'!G58</f>
        <v>820.70154908121731</v>
      </c>
      <c r="I34" s="49">
        <f>'Balance Sheet'!I58-'Balance Sheet'!H58</f>
        <v>1561.3996998963939</v>
      </c>
      <c r="J34" s="49">
        <f>'Balance Sheet'!J58-'Balance Sheet'!I58</f>
        <v>1703.9370286842895</v>
      </c>
      <c r="K34" s="49">
        <f>'Balance Sheet'!K58-'Balance Sheet'!J58</f>
        <v>1858.2565009583122</v>
      </c>
    </row>
    <row r="35" spans="1:11" x14ac:dyDescent="0.2">
      <c r="A35" s="63" t="s">
        <v>100</v>
      </c>
      <c r="B35" s="52">
        <f t="shared" ref="B35:K35" si="1">SUM(B28:B34)</f>
        <v>11324</v>
      </c>
      <c r="C35" s="52">
        <f t="shared" si="1"/>
        <v>11684</v>
      </c>
      <c r="D35" s="52">
        <f t="shared" si="1"/>
        <v>12694</v>
      </c>
      <c r="E35" s="52">
        <f t="shared" si="1"/>
        <v>15179</v>
      </c>
      <c r="F35" s="52">
        <f t="shared" si="1"/>
        <v>13789</v>
      </c>
      <c r="G35" s="52">
        <f t="shared" si="1"/>
        <v>15222</v>
      </c>
      <c r="H35" s="52">
        <f t="shared" si="1"/>
        <v>16634.509968080274</v>
      </c>
      <c r="I35" s="52">
        <f t="shared" si="1"/>
        <v>18197.366534745248</v>
      </c>
      <c r="J35" s="52">
        <f t="shared" si="1"/>
        <v>19353.064412601205</v>
      </c>
      <c r="K35" s="52">
        <f t="shared" si="1"/>
        <v>20584.662864576268</v>
      </c>
    </row>
    <row r="36" spans="1:11" x14ac:dyDescent="0.2">
      <c r="A36" s="60" t="s">
        <v>101</v>
      </c>
      <c r="B36" s="47">
        <v>-2367</v>
      </c>
      <c r="C36" s="47">
        <v>-2720</v>
      </c>
      <c r="D36" s="47">
        <v>-3068</v>
      </c>
      <c r="E36" s="47">
        <v>-295</v>
      </c>
      <c r="F36" s="47">
        <v>-2183</v>
      </c>
      <c r="G36" s="47">
        <v>-4726</v>
      </c>
      <c r="H36" s="49">
        <f>-('FY 26-27E Projected'!I23)</f>
        <v>-3622.0620354315215</v>
      </c>
      <c r="I36" s="49">
        <f>-('FY 26-27E Projected'!J23)</f>
        <v>-3831.6553231212074</v>
      </c>
      <c r="J36" s="49">
        <f>-('FY 26-27E Projected'!K23)</f>
        <v>-4053.8853550874605</v>
      </c>
      <c r="K36" s="49">
        <f>-('FY 26-27E Projected'!L23)</f>
        <v>-4289.5112457885334</v>
      </c>
    </row>
    <row r="37" spans="1:11" x14ac:dyDescent="0.2">
      <c r="A37" s="63" t="s">
        <v>102</v>
      </c>
      <c r="B37" s="52">
        <f t="shared" ref="B37:K37" si="2">B35+B36</f>
        <v>8957</v>
      </c>
      <c r="C37" s="52">
        <f t="shared" si="2"/>
        <v>8964</v>
      </c>
      <c r="D37" s="52">
        <f t="shared" si="2"/>
        <v>9626</v>
      </c>
      <c r="E37" s="52">
        <f t="shared" si="2"/>
        <v>14884</v>
      </c>
      <c r="F37" s="52">
        <f t="shared" si="2"/>
        <v>11606</v>
      </c>
      <c r="G37" s="52">
        <f t="shared" si="2"/>
        <v>10496</v>
      </c>
      <c r="H37" s="52">
        <f t="shared" si="2"/>
        <v>13012.447932648753</v>
      </c>
      <c r="I37" s="52">
        <f t="shared" si="2"/>
        <v>14365.711211624041</v>
      </c>
      <c r="J37" s="52">
        <f t="shared" si="2"/>
        <v>15299.179057513744</v>
      </c>
      <c r="K37" s="52">
        <f t="shared" si="2"/>
        <v>16295.151618787735</v>
      </c>
    </row>
    <row r="38" spans="1:11" s="62" customFormat="1" x14ac:dyDescent="0.2">
      <c r="A38" s="66" t="s">
        <v>103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</row>
    <row r="39" spans="1:11" x14ac:dyDescent="0.2">
      <c r="A39" s="67" t="s">
        <v>104</v>
      </c>
      <c r="B39" s="47">
        <v>-629</v>
      </c>
      <c r="C39" s="47">
        <v>-916</v>
      </c>
      <c r="D39" s="47">
        <v>-1023</v>
      </c>
      <c r="E39" s="47">
        <v>-1309</v>
      </c>
      <c r="F39" s="47">
        <v>-1128</v>
      </c>
      <c r="G39" s="47">
        <v>-1171</v>
      </c>
      <c r="H39" s="49">
        <f>-(Assumption!G19*'FY 26-27E Projected'!I6)</f>
        <v>-1247.1495286239665</v>
      </c>
      <c r="I39" s="49">
        <f>-(Assumption!H19*'FY 26-27E Projected'!J6)</f>
        <v>-1325.9982578646179</v>
      </c>
      <c r="J39" s="49">
        <f>-(Assumption!I19*'FY 26-27E Projected'!K6)</f>
        <v>-1409.8320526168004</v>
      </c>
      <c r="K39" s="49">
        <f>-(Assumption!J19*'FY 26-27E Projected'!L6)</f>
        <v>-1498.9660844551679</v>
      </c>
    </row>
    <row r="40" spans="1:11" x14ac:dyDescent="0.2">
      <c r="A40" s="67" t="s">
        <v>105</v>
      </c>
      <c r="B40" s="47">
        <v>97</v>
      </c>
      <c r="C40" s="47">
        <v>146</v>
      </c>
      <c r="D40" s="47">
        <v>120</v>
      </c>
      <c r="E40" s="47">
        <v>20</v>
      </c>
      <c r="F40" s="47">
        <v>13</v>
      </c>
      <c r="G40" s="47">
        <v>29</v>
      </c>
      <c r="H40" s="47">
        <v>0</v>
      </c>
      <c r="I40" s="47">
        <v>0</v>
      </c>
      <c r="J40" s="47">
        <v>0</v>
      </c>
      <c r="K40" s="47">
        <v>0</v>
      </c>
    </row>
    <row r="41" spans="1:11" x14ac:dyDescent="0.2">
      <c r="A41" s="67" t="s">
        <v>106</v>
      </c>
      <c r="B41" s="47">
        <v>-3422</v>
      </c>
      <c r="C41" s="47">
        <v>-3</v>
      </c>
      <c r="D41" s="47">
        <v>-18</v>
      </c>
      <c r="E41" s="47">
        <v>-9</v>
      </c>
      <c r="F41" s="47">
        <v>-21</v>
      </c>
      <c r="G41" s="47">
        <v>-103</v>
      </c>
      <c r="H41" s="47">
        <v>0</v>
      </c>
      <c r="I41" s="47">
        <v>0</v>
      </c>
      <c r="J41" s="47">
        <v>0</v>
      </c>
      <c r="K41" s="47">
        <v>0</v>
      </c>
    </row>
    <row r="42" spans="1:11" x14ac:dyDescent="0.2">
      <c r="A42" s="67" t="s">
        <v>107</v>
      </c>
      <c r="B42" s="54" t="s">
        <v>47</v>
      </c>
      <c r="C42" s="47">
        <v>29</v>
      </c>
      <c r="D42" s="47">
        <v>60</v>
      </c>
      <c r="E42" s="54" t="s">
        <v>47</v>
      </c>
      <c r="F42" s="54" t="s">
        <v>47</v>
      </c>
      <c r="G42" s="54" t="s">
        <v>47</v>
      </c>
      <c r="H42" s="54" t="s">
        <v>47</v>
      </c>
      <c r="I42" s="54">
        <v>0</v>
      </c>
      <c r="J42" s="54">
        <v>0</v>
      </c>
      <c r="K42" s="54">
        <v>0</v>
      </c>
    </row>
    <row r="43" spans="1:11" x14ac:dyDescent="0.2">
      <c r="A43" s="67" t="s">
        <v>108</v>
      </c>
      <c r="B43" s="54" t="s">
        <v>47</v>
      </c>
      <c r="C43" s="54" t="s">
        <v>47</v>
      </c>
      <c r="D43" s="54" t="s">
        <v>47</v>
      </c>
      <c r="E43" s="54" t="s">
        <v>47</v>
      </c>
      <c r="F43" s="47">
        <v>595</v>
      </c>
      <c r="G43" s="54" t="s">
        <v>47</v>
      </c>
      <c r="H43" s="47">
        <v>0</v>
      </c>
      <c r="I43" s="47">
        <v>0</v>
      </c>
      <c r="J43" s="47">
        <v>0</v>
      </c>
      <c r="K43" s="47">
        <v>0</v>
      </c>
    </row>
    <row r="44" spans="1:11" x14ac:dyDescent="0.2">
      <c r="A44" s="67" t="s">
        <v>89</v>
      </c>
      <c r="B44" s="54" t="s">
        <v>47</v>
      </c>
      <c r="C44" s="54" t="s">
        <v>47</v>
      </c>
      <c r="D44" s="54">
        <v>-2</v>
      </c>
      <c r="E44" s="54" t="s">
        <v>47</v>
      </c>
      <c r="F44" s="54" t="s">
        <v>47</v>
      </c>
      <c r="G44" s="54" t="s">
        <v>47</v>
      </c>
      <c r="H44" s="54" t="s">
        <v>47</v>
      </c>
      <c r="I44" s="54">
        <v>0</v>
      </c>
      <c r="J44" s="54">
        <v>0</v>
      </c>
      <c r="K44" s="54">
        <v>0</v>
      </c>
    </row>
    <row r="45" spans="1:11" x14ac:dyDescent="0.2">
      <c r="A45" s="67" t="s">
        <v>109</v>
      </c>
      <c r="B45" s="54" t="s">
        <v>47</v>
      </c>
      <c r="C45" s="54" t="s">
        <v>47</v>
      </c>
      <c r="D45" s="54">
        <v>-70</v>
      </c>
      <c r="E45" s="54" t="s">
        <v>47</v>
      </c>
      <c r="F45" s="54" t="s">
        <v>47</v>
      </c>
      <c r="G45" s="54" t="s">
        <v>47</v>
      </c>
      <c r="H45" s="54" t="s">
        <v>47</v>
      </c>
      <c r="I45" s="54">
        <v>0</v>
      </c>
      <c r="J45" s="54">
        <v>0</v>
      </c>
      <c r="K45" s="54">
        <v>0</v>
      </c>
    </row>
    <row r="46" spans="1:11" x14ac:dyDescent="0.2">
      <c r="A46" s="67" t="s">
        <v>110</v>
      </c>
      <c r="B46" s="47">
        <v>-60</v>
      </c>
      <c r="C46" s="47">
        <v>-300</v>
      </c>
      <c r="D46" s="47">
        <v>-264</v>
      </c>
      <c r="E46" s="54" t="s">
        <v>47</v>
      </c>
      <c r="F46" s="47">
        <v>-5</v>
      </c>
      <c r="G46" s="47">
        <v>-3530</v>
      </c>
      <c r="H46" s="47">
        <v>0</v>
      </c>
      <c r="I46" s="47">
        <v>0</v>
      </c>
      <c r="J46" s="47">
        <v>0</v>
      </c>
      <c r="K46" s="47">
        <v>0</v>
      </c>
    </row>
    <row r="47" spans="1:11" x14ac:dyDescent="0.2">
      <c r="A47" s="67" t="s">
        <v>111</v>
      </c>
      <c r="B47" s="54">
        <v>-33</v>
      </c>
      <c r="C47" s="54">
        <v>-41</v>
      </c>
      <c r="D47" s="54">
        <v>-40</v>
      </c>
      <c r="E47" s="54">
        <v>-4</v>
      </c>
      <c r="F47" s="54" t="s">
        <v>47</v>
      </c>
      <c r="G47" s="47">
        <v>298</v>
      </c>
      <c r="H47" s="47">
        <v>0</v>
      </c>
      <c r="I47" s="47">
        <v>0</v>
      </c>
      <c r="J47" s="47">
        <v>0</v>
      </c>
      <c r="K47" s="47">
        <v>0</v>
      </c>
    </row>
    <row r="48" spans="1:11" x14ac:dyDescent="0.2">
      <c r="A48" s="67" t="s">
        <v>112</v>
      </c>
      <c r="B48" s="54" t="s">
        <v>47</v>
      </c>
      <c r="C48" s="54" t="s">
        <v>47</v>
      </c>
      <c r="D48" s="54" t="s">
        <v>47</v>
      </c>
      <c r="E48" s="54" t="s">
        <v>47</v>
      </c>
      <c r="F48" s="54" t="s">
        <v>47</v>
      </c>
      <c r="G48" s="47">
        <v>-111</v>
      </c>
      <c r="H48" s="47">
        <v>0</v>
      </c>
      <c r="I48" s="47">
        <v>0</v>
      </c>
      <c r="J48" s="47">
        <v>0</v>
      </c>
      <c r="K48" s="47">
        <v>0</v>
      </c>
    </row>
    <row r="49" spans="1:11" x14ac:dyDescent="0.2">
      <c r="A49" s="67" t="s">
        <v>113</v>
      </c>
      <c r="B49" s="54" t="s">
        <v>47</v>
      </c>
      <c r="C49" s="54" t="s">
        <v>47</v>
      </c>
      <c r="D49" s="54" t="s">
        <v>47</v>
      </c>
      <c r="E49" s="54" t="s">
        <v>47</v>
      </c>
      <c r="F49" s="54" t="s">
        <v>47</v>
      </c>
      <c r="G49" s="47">
        <v>1</v>
      </c>
      <c r="H49" s="47">
        <v>0</v>
      </c>
      <c r="I49" s="47">
        <v>0</v>
      </c>
      <c r="J49" s="47">
        <v>0</v>
      </c>
      <c r="K49" s="47">
        <v>0</v>
      </c>
    </row>
    <row r="50" spans="1:11" x14ac:dyDescent="0.2">
      <c r="A50" s="67" t="s">
        <v>114</v>
      </c>
      <c r="B50" s="47">
        <v>-38450</v>
      </c>
      <c r="C50" s="47">
        <v>-47928</v>
      </c>
      <c r="D50" s="47">
        <v>-22561</v>
      </c>
      <c r="E50" s="47">
        <v>-21198</v>
      </c>
      <c r="F50" s="47">
        <v>-20943</v>
      </c>
      <c r="G50" s="47">
        <v>-22947</v>
      </c>
      <c r="H50" s="47">
        <v>0</v>
      </c>
      <c r="I50" s="47">
        <v>0</v>
      </c>
      <c r="J50" s="47">
        <v>0</v>
      </c>
      <c r="K50" s="47">
        <v>0</v>
      </c>
    </row>
    <row r="51" spans="1:11" x14ac:dyDescent="0.2">
      <c r="A51" s="67" t="s">
        <v>115</v>
      </c>
      <c r="B51" s="47">
        <v>-44</v>
      </c>
      <c r="C51" s="54" t="s">
        <v>47</v>
      </c>
      <c r="D51" s="54" t="s">
        <v>47</v>
      </c>
      <c r="E51" s="54" t="s">
        <v>47</v>
      </c>
      <c r="F51" s="54" t="s">
        <v>47</v>
      </c>
      <c r="G51" s="54" t="s">
        <v>47</v>
      </c>
      <c r="H51" s="54" t="s">
        <v>47</v>
      </c>
      <c r="I51" s="54">
        <v>0</v>
      </c>
      <c r="J51" s="54">
        <v>0</v>
      </c>
      <c r="K51" s="54">
        <v>0</v>
      </c>
    </row>
    <row r="52" spans="1:11" x14ac:dyDescent="0.2">
      <c r="A52" s="67" t="s">
        <v>116</v>
      </c>
      <c r="B52" s="47">
        <v>37076</v>
      </c>
      <c r="C52" s="47">
        <v>47173</v>
      </c>
      <c r="D52" s="47">
        <v>23363</v>
      </c>
      <c r="E52" s="47">
        <v>19752</v>
      </c>
      <c r="F52" s="47">
        <v>21984</v>
      </c>
      <c r="G52" s="47">
        <v>22608</v>
      </c>
      <c r="H52" s="47">
        <v>0</v>
      </c>
      <c r="I52" s="47">
        <v>0</v>
      </c>
      <c r="J52" s="47">
        <v>0</v>
      </c>
      <c r="K52" s="47">
        <v>0</v>
      </c>
    </row>
    <row r="53" spans="1:11" x14ac:dyDescent="0.2">
      <c r="A53" s="67" t="s">
        <v>117</v>
      </c>
      <c r="B53" s="47">
        <v>-180</v>
      </c>
      <c r="C53" s="47">
        <v>-436</v>
      </c>
      <c r="D53" s="47">
        <v>-493</v>
      </c>
      <c r="E53" s="47">
        <v>-431</v>
      </c>
      <c r="F53" s="47">
        <v>-362</v>
      </c>
      <c r="G53" s="47">
        <v>-171</v>
      </c>
      <c r="H53" s="47">
        <v>0</v>
      </c>
      <c r="I53" s="47">
        <v>0</v>
      </c>
      <c r="J53" s="47">
        <v>0</v>
      </c>
      <c r="K53" s="47">
        <v>0</v>
      </c>
    </row>
    <row r="54" spans="1:11" x14ac:dyDescent="0.2">
      <c r="A54" s="67" t="s">
        <v>118</v>
      </c>
      <c r="B54" s="47">
        <v>126</v>
      </c>
      <c r="C54" s="47">
        <v>284</v>
      </c>
      <c r="D54" s="47">
        <v>678</v>
      </c>
      <c r="E54" s="47">
        <v>381</v>
      </c>
      <c r="F54" s="47">
        <v>408</v>
      </c>
      <c r="G54" s="47">
        <v>158</v>
      </c>
      <c r="H54" s="47">
        <v>0</v>
      </c>
      <c r="I54" s="47">
        <v>0</v>
      </c>
      <c r="J54" s="47">
        <v>0</v>
      </c>
      <c r="K54" s="47">
        <v>0</v>
      </c>
    </row>
    <row r="55" spans="1:11" x14ac:dyDescent="0.2">
      <c r="A55" s="67" t="s">
        <v>119</v>
      </c>
      <c r="B55" s="54" t="s">
        <v>47</v>
      </c>
      <c r="C55" s="47">
        <v>-4</v>
      </c>
      <c r="D55" s="54">
        <v>-1</v>
      </c>
      <c r="E55" s="54">
        <v>1</v>
      </c>
      <c r="F55" s="47">
        <v>-11</v>
      </c>
      <c r="G55" s="47">
        <v>-55</v>
      </c>
      <c r="H55" s="47">
        <v>0</v>
      </c>
      <c r="I55" s="47">
        <v>0</v>
      </c>
      <c r="J55" s="47">
        <v>0</v>
      </c>
      <c r="K55" s="47">
        <v>0</v>
      </c>
    </row>
    <row r="56" spans="1:11" x14ac:dyDescent="0.2">
      <c r="A56" s="67" t="s">
        <v>120</v>
      </c>
      <c r="B56" s="54" t="s">
        <v>47</v>
      </c>
      <c r="C56" s="54" t="s">
        <v>47</v>
      </c>
      <c r="D56" s="49"/>
      <c r="E56" s="54" t="s">
        <v>47</v>
      </c>
      <c r="F56" s="47">
        <v>11</v>
      </c>
      <c r="G56" s="47">
        <v>56</v>
      </c>
      <c r="H56" s="47">
        <v>0</v>
      </c>
      <c r="I56" s="47">
        <v>0</v>
      </c>
      <c r="J56" s="47">
        <v>0</v>
      </c>
      <c r="K56" s="47">
        <v>0</v>
      </c>
    </row>
    <row r="57" spans="1:11" x14ac:dyDescent="0.2">
      <c r="A57" s="67" t="s">
        <v>121</v>
      </c>
      <c r="B57" s="47">
        <v>-2375</v>
      </c>
      <c r="C57" s="47">
        <v>-3619</v>
      </c>
      <c r="D57" s="47">
        <v>-3627</v>
      </c>
      <c r="E57" s="47">
        <v>-9080</v>
      </c>
      <c r="F57" s="47">
        <v>-2486</v>
      </c>
      <c r="G57" s="47">
        <v>-1912</v>
      </c>
      <c r="H57" s="47">
        <v>0</v>
      </c>
      <c r="I57" s="47">
        <v>0</v>
      </c>
      <c r="J57" s="47">
        <v>0</v>
      </c>
      <c r="K57" s="47">
        <v>0</v>
      </c>
    </row>
    <row r="58" spans="1:11" x14ac:dyDescent="0.2">
      <c r="A58" s="68" t="s">
        <v>122</v>
      </c>
      <c r="B58" s="47">
        <v>6139</v>
      </c>
      <c r="C58" s="47">
        <v>3582</v>
      </c>
      <c r="D58" s="47">
        <v>2425</v>
      </c>
      <c r="E58" s="47">
        <v>6313</v>
      </c>
      <c r="F58" s="47">
        <v>7771</v>
      </c>
      <c r="G58" s="47">
        <v>2715</v>
      </c>
      <c r="H58" s="47">
        <v>0</v>
      </c>
      <c r="I58" s="47">
        <v>0</v>
      </c>
      <c r="J58" s="47">
        <v>0</v>
      </c>
      <c r="K58" s="47">
        <v>0</v>
      </c>
    </row>
    <row r="59" spans="1:11" x14ac:dyDescent="0.2">
      <c r="A59" s="67" t="s">
        <v>123</v>
      </c>
      <c r="B59" s="54" t="s">
        <v>47</v>
      </c>
      <c r="C59" s="47">
        <v>-1</v>
      </c>
      <c r="D59" s="54" t="s">
        <v>47</v>
      </c>
      <c r="E59" s="54" t="s">
        <v>47</v>
      </c>
      <c r="F59" s="54" t="s">
        <v>47</v>
      </c>
      <c r="G59" s="54" t="s">
        <v>47</v>
      </c>
      <c r="H59" s="54" t="s">
        <v>47</v>
      </c>
      <c r="I59" s="54">
        <v>0</v>
      </c>
      <c r="J59" s="54">
        <v>0</v>
      </c>
      <c r="K59" s="54" t="s">
        <v>47</v>
      </c>
    </row>
    <row r="60" spans="1:11" x14ac:dyDescent="0.2">
      <c r="A60" s="67" t="s">
        <v>124</v>
      </c>
      <c r="B60" s="54">
        <v>1</v>
      </c>
      <c r="C60" s="54" t="s">
        <v>47</v>
      </c>
      <c r="D60" s="54" t="s">
        <v>47</v>
      </c>
      <c r="E60" s="54" t="s">
        <v>47</v>
      </c>
      <c r="F60" s="54" t="s">
        <v>47</v>
      </c>
      <c r="G60" s="47">
        <v>1</v>
      </c>
      <c r="H60" s="47">
        <v>0</v>
      </c>
      <c r="I60" s="47">
        <v>0</v>
      </c>
      <c r="J60" s="47">
        <v>0</v>
      </c>
      <c r="K60" s="47">
        <v>0</v>
      </c>
    </row>
    <row r="61" spans="1:11" x14ac:dyDescent="0.2">
      <c r="A61" s="67" t="s">
        <v>125</v>
      </c>
      <c r="B61" s="47">
        <v>285</v>
      </c>
      <c r="C61" s="47">
        <v>171</v>
      </c>
      <c r="D61" s="47">
        <v>273</v>
      </c>
      <c r="E61" s="47">
        <v>417</v>
      </c>
      <c r="F61" s="47">
        <v>768</v>
      </c>
      <c r="G61" s="47">
        <v>431</v>
      </c>
      <c r="H61" s="47">
        <v>0</v>
      </c>
      <c r="I61" s="47">
        <v>0</v>
      </c>
      <c r="J61" s="47">
        <v>0</v>
      </c>
      <c r="K61" s="47">
        <v>0</v>
      </c>
    </row>
    <row r="62" spans="1:11" x14ac:dyDescent="0.2">
      <c r="A62" s="67" t="s">
        <v>126</v>
      </c>
      <c r="B62" s="47">
        <v>101</v>
      </c>
      <c r="C62" s="47">
        <v>130</v>
      </c>
      <c r="D62" s="47">
        <v>116</v>
      </c>
      <c r="E62" s="47">
        <v>173</v>
      </c>
      <c r="F62" s="47">
        <v>169</v>
      </c>
      <c r="G62" s="47">
        <v>225</v>
      </c>
      <c r="H62" s="47">
        <v>0</v>
      </c>
      <c r="I62" s="47">
        <v>0</v>
      </c>
      <c r="J62" s="47">
        <v>0</v>
      </c>
      <c r="K62" s="47">
        <v>0</v>
      </c>
    </row>
    <row r="63" spans="1:11" x14ac:dyDescent="0.2">
      <c r="A63" s="67" t="s">
        <v>127</v>
      </c>
      <c r="B63" s="54">
        <v>1</v>
      </c>
      <c r="C63" s="54">
        <v>1</v>
      </c>
      <c r="D63" s="54">
        <v>2</v>
      </c>
      <c r="E63" s="54">
        <v>3</v>
      </c>
      <c r="F63" s="54" t="s">
        <v>47</v>
      </c>
      <c r="G63" s="47">
        <v>5</v>
      </c>
      <c r="H63" s="47">
        <v>0</v>
      </c>
      <c r="I63" s="47">
        <v>0</v>
      </c>
      <c r="J63" s="47">
        <v>0</v>
      </c>
      <c r="K63" s="47">
        <v>0</v>
      </c>
    </row>
    <row r="64" spans="1:11" s="37" customFormat="1" x14ac:dyDescent="0.2">
      <c r="A64" s="63" t="s">
        <v>128</v>
      </c>
      <c r="B64" s="52">
        <f t="shared" ref="B64:K64" si="3">SUM(B39:B63)</f>
        <v>-1367</v>
      </c>
      <c r="C64" s="52">
        <f t="shared" si="3"/>
        <v>-1732</v>
      </c>
      <c r="D64" s="52">
        <f t="shared" si="3"/>
        <v>-1062</v>
      </c>
      <c r="E64" s="52">
        <f t="shared" si="3"/>
        <v>-4971</v>
      </c>
      <c r="F64" s="52">
        <f t="shared" si="3"/>
        <v>6763</v>
      </c>
      <c r="G64" s="52">
        <f t="shared" si="3"/>
        <v>-3473</v>
      </c>
      <c r="H64" s="52">
        <f t="shared" si="3"/>
        <v>-1247.1495286239665</v>
      </c>
      <c r="I64" s="52">
        <f t="shared" si="3"/>
        <v>-1325.9982578646179</v>
      </c>
      <c r="J64" s="52">
        <f t="shared" si="3"/>
        <v>-1409.8320526168004</v>
      </c>
      <c r="K64" s="52">
        <f t="shared" si="3"/>
        <v>-1498.9660844551679</v>
      </c>
    </row>
    <row r="65" spans="1:11" s="62" customFormat="1" x14ac:dyDescent="0.2">
      <c r="A65" s="66" t="s">
        <v>129</v>
      </c>
      <c r="B65" s="75"/>
      <c r="C65" s="75"/>
      <c r="D65" s="75"/>
      <c r="E65" s="75"/>
      <c r="F65" s="75"/>
      <c r="G65" s="75"/>
      <c r="H65" s="75"/>
      <c r="I65" s="75"/>
      <c r="J65" s="75"/>
      <c r="K65" s="75"/>
    </row>
    <row r="66" spans="1:11" x14ac:dyDescent="0.2">
      <c r="A66" s="67" t="s">
        <v>130</v>
      </c>
      <c r="B66" s="47">
        <v>-8811</v>
      </c>
      <c r="C66" s="47">
        <v>-7519</v>
      </c>
      <c r="D66" s="47">
        <v>-8459</v>
      </c>
      <c r="E66" s="47">
        <v>-9398</v>
      </c>
      <c r="F66" s="47">
        <v>-12453</v>
      </c>
      <c r="G66" s="47">
        <v>-10103</v>
      </c>
      <c r="H66" s="49">
        <f>-(Assumption!G20*'FY 26-27E Projected'!I24)</f>
        <v>-9947.3849104295805</v>
      </c>
      <c r="I66" s="49">
        <f>-(Assumption!H20*'FY 26-27E Projected'!J24)</f>
        <v>-10522.997665511319</v>
      </c>
      <c r="J66" s="49">
        <f>-(Assumption!I20*'FY 26-27E Projected'!K24)</f>
        <v>-11133.315115903089</v>
      </c>
      <c r="K66" s="49">
        <f>-(Assumption!J20*'FY 26-27E Projected'!L24)</f>
        <v>-11780.42204194091</v>
      </c>
    </row>
    <row r="67" spans="1:11" x14ac:dyDescent="0.2">
      <c r="A67" s="67" t="s">
        <v>131</v>
      </c>
      <c r="B67" s="47">
        <v>-383</v>
      </c>
      <c r="C67" s="47">
        <v>-388</v>
      </c>
      <c r="D67" s="47">
        <v>-431</v>
      </c>
      <c r="E67" s="47">
        <v>-394</v>
      </c>
      <c r="F67" s="47">
        <v>-460</v>
      </c>
      <c r="G67" s="47">
        <v>-464</v>
      </c>
      <c r="H67" s="47">
        <v>0</v>
      </c>
      <c r="I67" s="47">
        <v>0</v>
      </c>
      <c r="J67" s="47">
        <v>0</v>
      </c>
      <c r="K67" s="47">
        <v>0</v>
      </c>
    </row>
    <row r="68" spans="1:11" x14ac:dyDescent="0.2">
      <c r="A68" s="67" t="s">
        <v>132</v>
      </c>
      <c r="B68" s="47">
        <v>-81</v>
      </c>
      <c r="C68" s="47">
        <v>-75</v>
      </c>
      <c r="D68" s="47">
        <v>-76</v>
      </c>
      <c r="E68" s="47">
        <v>-98</v>
      </c>
      <c r="F68" s="47">
        <v>-118</v>
      </c>
      <c r="G68" s="47">
        <v>-117</v>
      </c>
      <c r="H68" s="47">
        <v>0</v>
      </c>
      <c r="I68" s="47">
        <v>0</v>
      </c>
      <c r="J68" s="47">
        <v>0</v>
      </c>
      <c r="K68" s="47">
        <v>0</v>
      </c>
    </row>
    <row r="69" spans="1:11" x14ac:dyDescent="0.2">
      <c r="A69" s="67" t="s">
        <v>133</v>
      </c>
      <c r="B69" s="47">
        <v>-5</v>
      </c>
      <c r="C69" s="47">
        <v>-2</v>
      </c>
      <c r="D69" s="54" t="s">
        <v>47</v>
      </c>
      <c r="E69" s="54" t="s">
        <v>47</v>
      </c>
      <c r="F69" s="54" t="s">
        <v>47</v>
      </c>
      <c r="G69" s="54" t="s">
        <v>47</v>
      </c>
      <c r="H69" s="54" t="s">
        <v>47</v>
      </c>
      <c r="I69" s="54">
        <v>0</v>
      </c>
      <c r="J69" s="54">
        <v>0</v>
      </c>
      <c r="K69" s="54">
        <v>0</v>
      </c>
    </row>
    <row r="70" spans="1:11" x14ac:dyDescent="0.2">
      <c r="A70" s="67" t="s">
        <v>134</v>
      </c>
      <c r="B70" s="47">
        <v>0</v>
      </c>
      <c r="C70" s="47">
        <v>0</v>
      </c>
      <c r="D70" s="54" t="s">
        <v>47</v>
      </c>
      <c r="E70" s="54" t="s">
        <v>47</v>
      </c>
      <c r="F70" s="54" t="s">
        <v>47</v>
      </c>
      <c r="G70" s="54" t="s">
        <v>47</v>
      </c>
      <c r="H70" s="54" t="s">
        <v>47</v>
      </c>
      <c r="I70" s="54">
        <v>0</v>
      </c>
      <c r="J70" s="54">
        <v>0</v>
      </c>
      <c r="K70" s="54">
        <v>0</v>
      </c>
    </row>
    <row r="71" spans="1:11" x14ac:dyDescent="0.2">
      <c r="A71" s="63" t="s">
        <v>135</v>
      </c>
      <c r="B71" s="52">
        <f t="shared" ref="B71:K71" si="4">SUM(B66:B70)</f>
        <v>-9280</v>
      </c>
      <c r="C71" s="52">
        <f t="shared" si="4"/>
        <v>-7984</v>
      </c>
      <c r="D71" s="52">
        <f t="shared" si="4"/>
        <v>-8966</v>
      </c>
      <c r="E71" s="52">
        <f t="shared" si="4"/>
        <v>-9890</v>
      </c>
      <c r="F71" s="52">
        <f t="shared" si="4"/>
        <v>-13031</v>
      </c>
      <c r="G71" s="52">
        <f t="shared" si="4"/>
        <v>-10684</v>
      </c>
      <c r="H71" s="52">
        <f t="shared" si="4"/>
        <v>-9947.3849104295805</v>
      </c>
      <c r="I71" s="52">
        <f t="shared" si="4"/>
        <v>-10522.997665511319</v>
      </c>
      <c r="J71" s="52">
        <f t="shared" si="4"/>
        <v>-11133.315115903089</v>
      </c>
      <c r="K71" s="52">
        <f t="shared" si="4"/>
        <v>-11780.42204194091</v>
      </c>
    </row>
    <row r="72" spans="1:11" x14ac:dyDescent="0.2">
      <c r="A72" s="63" t="s">
        <v>136</v>
      </c>
      <c r="B72" s="52">
        <f t="shared" ref="B72:K72" si="5">B37+B64+B71</f>
        <v>-1690</v>
      </c>
      <c r="C72" s="52">
        <f t="shared" si="5"/>
        <v>-752</v>
      </c>
      <c r="D72" s="52">
        <f t="shared" si="5"/>
        <v>-402</v>
      </c>
      <c r="E72" s="52">
        <f t="shared" si="5"/>
        <v>23</v>
      </c>
      <c r="F72" s="52">
        <f t="shared" si="5"/>
        <v>5338</v>
      </c>
      <c r="G72" s="52">
        <f t="shared" si="5"/>
        <v>-3661</v>
      </c>
      <c r="H72" s="52">
        <f t="shared" si="5"/>
        <v>1817.9134935952061</v>
      </c>
      <c r="I72" s="52">
        <f t="shared" si="5"/>
        <v>2516.7152882481041</v>
      </c>
      <c r="J72" s="52">
        <f t="shared" si="5"/>
        <v>2756.0318889938535</v>
      </c>
      <c r="K72" s="52">
        <f t="shared" si="5"/>
        <v>3015.7634923916576</v>
      </c>
    </row>
    <row r="73" spans="1:11" x14ac:dyDescent="0.2">
      <c r="A73" s="67" t="s">
        <v>137</v>
      </c>
      <c r="B73" s="47">
        <v>3130</v>
      </c>
      <c r="C73" s="47">
        <v>1740</v>
      </c>
      <c r="D73" s="47">
        <v>988</v>
      </c>
      <c r="E73" s="47">
        <v>586</v>
      </c>
      <c r="F73" s="47">
        <v>609</v>
      </c>
      <c r="G73" s="47">
        <v>5947</v>
      </c>
      <c r="H73" s="49">
        <f>'Balance Sheet'!G25</f>
        <v>2286</v>
      </c>
      <c r="I73" s="49">
        <f>'Balance Sheet'!H25</f>
        <v>4103.9134935952061</v>
      </c>
      <c r="J73" s="49">
        <f>'Balance Sheet'!I25</f>
        <v>6620.6287818433102</v>
      </c>
      <c r="K73" s="49">
        <f>'Balance Sheet'!J25</f>
        <v>9376.6606708371637</v>
      </c>
    </row>
    <row r="74" spans="1:11" x14ac:dyDescent="0.2">
      <c r="A74" s="67" t="s">
        <v>138</v>
      </c>
      <c r="B74" s="54">
        <v>300</v>
      </c>
      <c r="C74" s="54" t="s">
        <v>47</v>
      </c>
      <c r="D74" s="54" t="s">
        <v>47</v>
      </c>
      <c r="E74" s="54" t="s">
        <v>47</v>
      </c>
      <c r="F74" s="54" t="s">
        <v>47</v>
      </c>
      <c r="G74" s="54" t="s">
        <v>47</v>
      </c>
      <c r="H74" s="54" t="s">
        <v>47</v>
      </c>
      <c r="I74" s="54" t="s">
        <v>47</v>
      </c>
      <c r="J74" s="54" t="s">
        <v>47</v>
      </c>
      <c r="K74" s="54" t="s">
        <v>47</v>
      </c>
    </row>
    <row r="75" spans="1:11" s="62" customFormat="1" x14ac:dyDescent="0.2">
      <c r="A75" s="61" t="s">
        <v>139</v>
      </c>
      <c r="B75" s="50">
        <f t="shared" ref="B75:K75" si="6">SUM(B73:B74)+B72</f>
        <v>1740</v>
      </c>
      <c r="C75" s="50">
        <f t="shared" si="6"/>
        <v>988</v>
      </c>
      <c r="D75" s="50">
        <f t="shared" si="6"/>
        <v>586</v>
      </c>
      <c r="E75" s="50">
        <f t="shared" si="6"/>
        <v>609</v>
      </c>
      <c r="F75" s="50">
        <f t="shared" si="6"/>
        <v>5947</v>
      </c>
      <c r="G75" s="50">
        <f t="shared" si="6"/>
        <v>2286</v>
      </c>
      <c r="H75" s="50">
        <f t="shared" si="6"/>
        <v>4103.9134935952061</v>
      </c>
      <c r="I75" s="50">
        <f t="shared" si="6"/>
        <v>6620.6287818433102</v>
      </c>
      <c r="J75" s="50">
        <f t="shared" si="6"/>
        <v>9376.6606708371637</v>
      </c>
      <c r="K75" s="50">
        <f t="shared" si="6"/>
        <v>12392.424163228821</v>
      </c>
    </row>
    <row r="76" spans="1:11" x14ac:dyDescent="0.2">
      <c r="A76" s="60"/>
      <c r="B76" s="60"/>
      <c r="C76" s="60"/>
      <c r="D76" s="60"/>
      <c r="E76" s="60"/>
      <c r="F76" s="60"/>
      <c r="G76" s="60"/>
      <c r="H76" s="60"/>
    </row>
  </sheetData>
  <mergeCells count="1">
    <mergeCell ref="A1:K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-0.499984740745262"/>
  </sheetPr>
  <dimension ref="A1:L33"/>
  <sheetViews>
    <sheetView zoomScaleNormal="100" workbookViewId="0">
      <pane xSplit="1" topLeftCell="E1" activePane="topRight" state="frozen"/>
      <selection activeCell="O18" sqref="O18"/>
      <selection pane="topRight" activeCell="A5" sqref="A5"/>
    </sheetView>
  </sheetViews>
  <sheetFormatPr defaultColWidth="8.7109375" defaultRowHeight="12.75" x14ac:dyDescent="0.2"/>
  <cols>
    <col min="1" max="1" width="27.42578125" style="24" bestFit="1" customWidth="1"/>
    <col min="2" max="6" width="23.85546875" style="24" bestFit="1" customWidth="1"/>
    <col min="7" max="10" width="23.42578125" style="24" bestFit="1" customWidth="1"/>
    <col min="11" max="11" width="10.5703125" style="80" bestFit="1" customWidth="1"/>
    <col min="12" max="12" width="7" style="24" customWidth="1"/>
    <col min="13" max="13" width="9.140625" style="24" customWidth="1"/>
    <col min="14" max="16384" width="8.7109375" style="24"/>
  </cols>
  <sheetData>
    <row r="1" spans="1:12" ht="17.25" customHeight="1" x14ac:dyDescent="0.2">
      <c r="A1" s="103" t="s">
        <v>140</v>
      </c>
      <c r="B1" s="103"/>
      <c r="C1" s="103"/>
      <c r="D1" s="103"/>
      <c r="E1" s="103"/>
      <c r="F1" s="103"/>
      <c r="G1" s="103"/>
      <c r="H1" s="103"/>
      <c r="I1" s="103"/>
      <c r="J1" s="103"/>
    </row>
    <row r="2" spans="1:12" ht="15" customHeight="1" x14ac:dyDescent="0.2">
      <c r="A2" s="104" t="s">
        <v>141</v>
      </c>
      <c r="B2" s="104"/>
      <c r="C2" s="78"/>
      <c r="D2" s="78"/>
      <c r="E2" s="78"/>
    </row>
    <row r="4" spans="1:12" ht="15" customHeight="1" x14ac:dyDescent="0.2">
      <c r="A4" s="81" t="s">
        <v>1</v>
      </c>
      <c r="B4" s="29" t="s">
        <v>22</v>
      </c>
      <c r="C4" s="29" t="s">
        <v>23</v>
      </c>
      <c r="D4" s="29" t="s">
        <v>24</v>
      </c>
      <c r="E4" s="29" t="s">
        <v>25</v>
      </c>
      <c r="F4" s="29" t="s">
        <v>26</v>
      </c>
      <c r="G4" s="30" t="s">
        <v>176</v>
      </c>
      <c r="H4" s="30" t="s">
        <v>177</v>
      </c>
      <c r="I4" s="30" t="s">
        <v>178</v>
      </c>
      <c r="J4" s="30" t="s">
        <v>179</v>
      </c>
      <c r="K4" s="82"/>
    </row>
    <row r="5" spans="1:12" ht="15" customHeight="1" x14ac:dyDescent="0.2">
      <c r="A5" s="66" t="s">
        <v>142</v>
      </c>
      <c r="B5" s="83"/>
      <c r="C5" s="83"/>
      <c r="D5" s="83"/>
      <c r="E5" s="83"/>
      <c r="F5" s="84"/>
      <c r="G5" s="84"/>
      <c r="H5" s="84"/>
      <c r="I5" s="84"/>
      <c r="J5" s="84"/>
      <c r="K5" s="82"/>
    </row>
    <row r="6" spans="1:12" ht="15" customHeight="1" x14ac:dyDescent="0.2">
      <c r="A6" s="105" t="s">
        <v>143</v>
      </c>
      <c r="B6" s="107">
        <f>'Income Statement'!D6/'Income Statement'!C6-1</f>
        <v>0.11298808592051479</v>
      </c>
      <c r="C6" s="107">
        <f>'Income Statement'!E6/'Income Statement'!D6-1</f>
        <v>0.15531420311370692</v>
      </c>
      <c r="D6" s="107">
        <f>'Income Statement'!F6/'Income Statement'!E6-1</f>
        <v>2.240294873529014E-2</v>
      </c>
      <c r="E6" s="108">
        <f>'Income Statement'!G6/'Income Statement'!F6-1</f>
        <v>-1.3114157667565185E-2</v>
      </c>
      <c r="F6" s="107">
        <f>'Income Statement'!H6/'Income Statement'!G6-1</f>
        <v>3.8524700046919991E-2</v>
      </c>
      <c r="G6" s="94">
        <f>AVERAGE($B$6:$F$6)</f>
        <v>6.3223156029773325E-2</v>
      </c>
      <c r="H6" s="94">
        <f>AVERAGE($B$6:$F$6)</f>
        <v>6.3223156029773325E-2</v>
      </c>
      <c r="I6" s="94">
        <f>AVERAGE($B$6:$F$6)</f>
        <v>6.3223156029773325E-2</v>
      </c>
      <c r="J6" s="94">
        <f>AVERAGE($B$6:$F$6)</f>
        <v>6.3223156029773325E-2</v>
      </c>
      <c r="K6" s="82" t="s">
        <v>144</v>
      </c>
    </row>
    <row r="7" spans="1:12" ht="15" customHeight="1" x14ac:dyDescent="0.2">
      <c r="A7" s="105" t="s">
        <v>145</v>
      </c>
      <c r="B7" s="108">
        <f>('Income Statement'!D10+'Income Statement'!D11+'Income Statement'!D12)/'Income Statement'!D6</f>
        <v>0.49077022249135627</v>
      </c>
      <c r="C7" s="108">
        <f>('Income Statement'!E10+'Income Statement'!E11+'Income Statement'!E12)/'Income Statement'!E6</f>
        <v>0.52657919653726493</v>
      </c>
      <c r="D7" s="108">
        <f>('Income Statement'!F10+'Income Statement'!F11+'Income Statement'!F12)/'Income Statement'!F6</f>
        <v>0.48499231010931221</v>
      </c>
      <c r="E7" s="108">
        <f>('Income Statement'!G10+'Income Statement'!G11+'Income Statement'!G12)/'Income Statement'!G6</f>
        <v>0.49212413700650176</v>
      </c>
      <c r="F7" s="107">
        <f>('Income Statement'!H10+'Income Statement'!H11+'Income Statement'!H12)/'Income Statement'!H6</f>
        <v>0.50155707946752726</v>
      </c>
      <c r="G7" s="94">
        <f>AVERAGE($B$7:$F$7)</f>
        <v>0.49920458912239252</v>
      </c>
      <c r="H7" s="94">
        <f>AVERAGE($B$7:$F$7)</f>
        <v>0.49920458912239252</v>
      </c>
      <c r="I7" s="94">
        <f>AVERAGE($B$7:$F$7)</f>
        <v>0.49920458912239252</v>
      </c>
      <c r="J7" s="94">
        <f>AVERAGE($B$7:$F$7)</f>
        <v>0.49920458912239252</v>
      </c>
      <c r="K7" s="82" t="s">
        <v>144</v>
      </c>
    </row>
    <row r="8" spans="1:12" ht="15" customHeight="1" x14ac:dyDescent="0.2">
      <c r="A8" s="105" t="s">
        <v>146</v>
      </c>
      <c r="B8" s="108">
        <f>'Income Statement'!D13/'Income Statement'!D6</f>
        <v>4.6861875647061124E-2</v>
      </c>
      <c r="C8" s="108">
        <f>'Income Statement'!E13/'Income Statement'!E6</f>
        <v>4.50595157581496E-2</v>
      </c>
      <c r="D8" s="108">
        <f>'Income Statement'!F13/'Income Statement'!F6</f>
        <v>4.6007044932113973E-2</v>
      </c>
      <c r="E8" s="108">
        <f>'Income Statement'!G13/'Income Statement'!G6</f>
        <v>4.5495676653931227E-2</v>
      </c>
      <c r="F8" s="107">
        <f>'Income Statement'!H13/'Income Statement'!H6</f>
        <v>4.5873336022589757E-2</v>
      </c>
      <c r="G8" s="94">
        <f>AVERAGE($B$8:$F$8)</f>
        <v>4.5859489802769132E-2</v>
      </c>
      <c r="H8" s="94">
        <f>AVERAGE($B$8:$F$8)</f>
        <v>4.5859489802769132E-2</v>
      </c>
      <c r="I8" s="94">
        <f>AVERAGE($B$8:$F$8)</f>
        <v>4.5859489802769132E-2</v>
      </c>
      <c r="J8" s="94">
        <f>AVERAGE($B$8:$F$8)</f>
        <v>4.5859489802769132E-2</v>
      </c>
      <c r="K8" s="82" t="s">
        <v>144</v>
      </c>
    </row>
    <row r="9" spans="1:12" ht="15" customHeight="1" x14ac:dyDescent="0.2">
      <c r="A9" s="105" t="s">
        <v>147</v>
      </c>
      <c r="B9" s="108">
        <f>'Income Statement'!D16/'Income Statement'!D6</f>
        <v>0.21813529193444417</v>
      </c>
      <c r="C9" s="108">
        <f>'Income Statement'!E16/'Income Statement'!E6</f>
        <v>0.19787298796158528</v>
      </c>
      <c r="D9" s="108">
        <f>'Income Statement'!F16/'Income Statement'!F6</f>
        <v>0.23433494848600109</v>
      </c>
      <c r="E9" s="108">
        <f>'Income Statement'!G16/'Income Statement'!G6</f>
        <v>0.22536698170118641</v>
      </c>
      <c r="F9" s="107">
        <f>'Income Statement'!H16/'Income Statement'!H6</f>
        <v>0.21918515530455829</v>
      </c>
      <c r="G9" s="94">
        <f>AVERAGE($B$9:$F$9)</f>
        <v>0.21897907307755507</v>
      </c>
      <c r="H9" s="94">
        <f>AVERAGE($B$9:$F$9)</f>
        <v>0.21897907307755507</v>
      </c>
      <c r="I9" s="94">
        <f>AVERAGE($B$9:$F$9)</f>
        <v>0.21897907307755507</v>
      </c>
      <c r="J9" s="94">
        <f>AVERAGE($B$9:$F$9)</f>
        <v>0.21897907307755507</v>
      </c>
      <c r="K9" s="82" t="s">
        <v>144</v>
      </c>
    </row>
    <row r="10" spans="1:12" ht="15" customHeight="1" x14ac:dyDescent="0.2">
      <c r="A10" s="105" t="s">
        <v>148</v>
      </c>
      <c r="B10" s="108">
        <f>'Income Statement'!D15/'Income Statement'!D6</f>
        <v>2.0022268669544666E-2</v>
      </c>
      <c r="C10" s="108">
        <f>'Income Statement'!E15/'Income Statement'!E6</f>
        <v>1.7415122413093467E-2</v>
      </c>
      <c r="D10" s="108">
        <f>'Income Statement'!F15/'Income Statement'!F6</f>
        <v>1.8141527063454E-2</v>
      </c>
      <c r="E10" s="108">
        <f>'Income Statement'!G15/'Income Statement'!G6</f>
        <v>1.8801528252563846E-2</v>
      </c>
      <c r="F10" s="107">
        <f>'Income Statement'!H15/'Income Statement'!H6</f>
        <v>1.9136748688987494E-2</v>
      </c>
      <c r="G10" s="94">
        <f>_xlfn.FORECAST.LINEAR(6, $C$10:$F$10, {2,3,4,5})</f>
        <v>1.9829951608722682E-2</v>
      </c>
      <c r="H10" s="94">
        <f>_xlfn.FORECAST.LINEAR(7, $C$10:$F$10, {2,3,4,5})</f>
        <v>2.0412439610401872E-2</v>
      </c>
      <c r="I10" s="94">
        <f>_xlfn.FORECAST.LINEAR(8, $C$10:$F$10, {2,3,4,5})</f>
        <v>2.0994927612081066E-2</v>
      </c>
      <c r="J10" s="94">
        <f>_xlfn.FORECAST.LINEAR(9, $C$10:$F$10, {2,3,4,5})</f>
        <v>2.1577415613760257E-2</v>
      </c>
      <c r="K10" s="82"/>
    </row>
    <row r="11" spans="1:12" ht="15" customHeight="1" x14ac:dyDescent="0.2">
      <c r="A11" s="105" t="s">
        <v>149</v>
      </c>
      <c r="B11" s="108">
        <f>-('Income Statement'!D22+'Income Statement'!D23)/'Income Statement'!D20</f>
        <v>0.24882869068915581</v>
      </c>
      <c r="C11" s="108">
        <f>-('Income Statement'!E22+'Income Statement'!E23)/'Income Statement'!E20</f>
        <v>0.23832097255141829</v>
      </c>
      <c r="D11" s="108">
        <f>-('Income Statement'!F22+'Income Statement'!F23)/'Income Statement'!F20</f>
        <v>0.26040219378427787</v>
      </c>
      <c r="E11" s="108">
        <f>-('Income Statement'!G22+'Income Statement'!G23)/'Income Statement'!G20</f>
        <v>0.25571159086145462</v>
      </c>
      <c r="F11" s="107">
        <f>-('Income Statement'!H22+'Income Statement'!H23)/'Income Statement'!H20</f>
        <v>0.21732954545454544</v>
      </c>
      <c r="G11" s="94">
        <f>AVERAGE($B$11:$F$11)</f>
        <v>0.24411859866817037</v>
      </c>
      <c r="H11" s="94">
        <f>AVERAGE($B$11:$F$11)</f>
        <v>0.24411859866817037</v>
      </c>
      <c r="I11" s="94">
        <f>AVERAGE($B$11:$F$11)</f>
        <v>0.24411859866817037</v>
      </c>
      <c r="J11" s="94">
        <f>AVERAGE($B$11:$F$11)</f>
        <v>0.24411859866817037</v>
      </c>
      <c r="K11" s="82" t="s">
        <v>144</v>
      </c>
    </row>
    <row r="12" spans="1:12" x14ac:dyDescent="0.2">
      <c r="B12" s="87"/>
      <c r="C12" s="87"/>
      <c r="D12" s="87"/>
      <c r="E12" s="87"/>
      <c r="F12" s="88"/>
    </row>
    <row r="13" spans="1:12" ht="15" customHeight="1" x14ac:dyDescent="0.2">
      <c r="A13" s="66" t="s">
        <v>150</v>
      </c>
      <c r="B13" s="89"/>
      <c r="C13" s="89"/>
      <c r="D13" s="89"/>
      <c r="E13" s="89"/>
      <c r="F13" s="88"/>
    </row>
    <row r="14" spans="1:12" ht="15" customHeight="1" x14ac:dyDescent="0.2">
      <c r="A14" s="106" t="s">
        <v>151</v>
      </c>
      <c r="B14" s="90">
        <f>'Balance Sheet'!C24/'Income Statement'!D6*365</f>
        <v>13.774930166233665</v>
      </c>
      <c r="C14" s="90">
        <f>'Balance Sheet'!D24/'Income Statement'!E6*365</f>
        <v>16.878719734884349</v>
      </c>
      <c r="D14" s="90">
        <f>'Balance Sheet'!E24/'Income Statement'!F6*365</f>
        <v>16.237245530767833</v>
      </c>
      <c r="E14" s="90">
        <f>'Balance Sheet'!F24/'Income Statement'!G6*365</f>
        <v>21.101447818218379</v>
      </c>
      <c r="F14" s="90">
        <f>'Balance Sheet'!G24/'Income Statement'!H6*365</f>
        <v>17.886325131101248</v>
      </c>
      <c r="G14" s="91">
        <f>AVERAGE($B$14:$F$14)</f>
        <v>17.175733676241094</v>
      </c>
      <c r="H14" s="91">
        <f>AVERAGE($B$14:$F$14)</f>
        <v>17.175733676241094</v>
      </c>
      <c r="I14" s="91">
        <f>AVERAGE($B$14:$F$14)</f>
        <v>17.175733676241094</v>
      </c>
      <c r="J14" s="91">
        <f>AVERAGE($B$14:$F$14)</f>
        <v>17.175733676241094</v>
      </c>
      <c r="K14" s="80" t="s">
        <v>144</v>
      </c>
    </row>
    <row r="15" spans="1:12" ht="15" customHeight="1" x14ac:dyDescent="0.2">
      <c r="A15" s="106" t="s">
        <v>152</v>
      </c>
      <c r="B15" s="90">
        <f>'Balance Sheet'!C21/(('Income Statement'!D10+'Income Statement'!D11+'Income Statement'!D12))*365</f>
        <v>56.51369208724725</v>
      </c>
      <c r="C15" s="90">
        <f>'Balance Sheet'!D21/(('Income Statement'!E10+'Income Statement'!E11+'Income Statement'!E12))*365</f>
        <v>47.242325969689183</v>
      </c>
      <c r="D15" s="90">
        <f>'Balance Sheet'!E21/(('Income Statement'!F10+'Income Statement'!F11+'Income Statement'!F12))*365</f>
        <v>47.44365260681284</v>
      </c>
      <c r="E15" s="90">
        <f>'Balance Sheet'!F21/(('Income Statement'!G10+'Income Statement'!G11+'Income Statement'!G12))*365</f>
        <v>51.714961863252519</v>
      </c>
      <c r="F15" s="90">
        <f>'Balance Sheet'!G21/(('Income Statement'!H10+'Income Statement'!H11+'Income Statement'!H12))*365</f>
        <v>51.466831810577794</v>
      </c>
      <c r="G15" s="91">
        <f>AVERAGE($E$15:$F$15)</f>
        <v>51.590896836915157</v>
      </c>
      <c r="H15" s="91">
        <f>AVERAGE($E$15:$F$15)</f>
        <v>51.590896836915157</v>
      </c>
      <c r="I15" s="91">
        <f>AVERAGE($E$15:$F$15)</f>
        <v>51.590896836915157</v>
      </c>
      <c r="J15" s="91">
        <f>AVERAGE($E$15:$F$15)</f>
        <v>51.590896836915157</v>
      </c>
      <c r="K15" s="80" t="s">
        <v>153</v>
      </c>
    </row>
    <row r="16" spans="1:12" ht="15.75" customHeight="1" x14ac:dyDescent="0.2">
      <c r="A16" s="106" t="s">
        <v>154</v>
      </c>
      <c r="B16" s="90">
        <f>('Balance Sheet'!C52+'Balance Sheet'!C53)/('Income Statement'!D10+'Income Statement'!D11+'Income Statement'!D12)*365</f>
        <v>128.77567266358861</v>
      </c>
      <c r="C16" s="90">
        <f>('Balance Sheet'!D52+'Balance Sheet'!D53)/(('Income Statement'!E10+'Income Statement'!E11+'Income Statement'!E12))*365</f>
        <v>110.06020421268946</v>
      </c>
      <c r="D16" s="90">
        <f>('Balance Sheet'!E52+'Balance Sheet'!E53)/(('Income Statement'!F10+'Income Statement'!F11+'Income Statement'!F12))*365</f>
        <v>126.30067855559723</v>
      </c>
      <c r="E16" s="90">
        <f>('Balance Sheet'!F52+'Balance Sheet'!F53)/(('Income Statement'!G10+'Income Statement'!G11+'Income Statement'!G12))*365</f>
        <v>136.68857259602288</v>
      </c>
      <c r="F16" s="90">
        <f>('Balance Sheet'!G52+'Balance Sheet'!G53)/(('Income Statement'!H10+'Income Statement'!H11+'Income Statement'!H12))*365</f>
        <v>151.62929481405223</v>
      </c>
      <c r="G16" s="91">
        <f>_xlfn.FORECAST.LINEAR(6, $B$16:$F$16, {1,2,3,4,5})</f>
        <v>152.39156837366829</v>
      </c>
      <c r="H16" s="91">
        <f>_xlfn.FORECAST.LINEAR(7, $B$16:$F$16, {1,2,3,4,5})</f>
        <v>159.62512964209435</v>
      </c>
      <c r="I16" s="91">
        <f>_xlfn.FORECAST.LINEAR(8, $B$16:$F$16, {1,2,3,4,5})</f>
        <v>166.85869091052041</v>
      </c>
      <c r="J16" s="91">
        <f>_xlfn.FORECAST.LINEAR(9, $B$16:$F$16, {1,2,3,4,5})</f>
        <v>174.0922521789465</v>
      </c>
      <c r="K16" s="92" t="s">
        <v>219</v>
      </c>
      <c r="L16" s="93"/>
    </row>
    <row r="17" spans="1:11" x14ac:dyDescent="0.2">
      <c r="B17" s="87"/>
      <c r="C17" s="87"/>
      <c r="D17" s="87"/>
      <c r="E17" s="87"/>
      <c r="F17" s="88"/>
    </row>
    <row r="18" spans="1:11" ht="15" customHeight="1" x14ac:dyDescent="0.2">
      <c r="A18" s="66" t="s">
        <v>155</v>
      </c>
      <c r="B18" s="89"/>
      <c r="C18" s="89"/>
      <c r="D18" s="89"/>
      <c r="E18" s="89"/>
      <c r="F18" s="88"/>
    </row>
    <row r="19" spans="1:11" ht="15" customHeight="1" x14ac:dyDescent="0.2">
      <c r="A19" s="106" t="s">
        <v>156</v>
      </c>
      <c r="B19" s="86">
        <f>-'Cash Flow Statement'!C39/'Income Statement'!D6</f>
        <v>1.7893071318344306E-2</v>
      </c>
      <c r="C19" s="86">
        <f>-'Cash Flow Statement'!D39/'Income Statement'!E6</f>
        <v>1.7296767212227782E-2</v>
      </c>
      <c r="D19" s="86">
        <f>-'Cash Flow Statement'!E39/'Income Statement'!F6</f>
        <v>2.1647455721113297E-2</v>
      </c>
      <c r="E19" s="86">
        <f>-'Cash Flow Statement'!F39/'Income Statement'!G6</f>
        <v>1.8902071184395738E-2</v>
      </c>
      <c r="F19" s="85">
        <f>-'Cash Flow Statement'!G39/'Income Statement'!H6</f>
        <v>1.8894715611133522E-2</v>
      </c>
      <c r="G19" s="84">
        <f>AVERAGE($B$19:$F$19)</f>
        <v>1.8926816209442927E-2</v>
      </c>
      <c r="H19" s="84">
        <f>AVERAGE($B$19:$F$19)</f>
        <v>1.8926816209442927E-2</v>
      </c>
      <c r="I19" s="94">
        <f>AVERAGE($B$19:$F$19)</f>
        <v>1.8926816209442927E-2</v>
      </c>
      <c r="J19" s="94">
        <f>AVERAGE($B$19:$F$19)</f>
        <v>1.8926816209442927E-2</v>
      </c>
      <c r="K19" s="80" t="s">
        <v>144</v>
      </c>
    </row>
    <row r="20" spans="1:11" ht="15" customHeight="1" x14ac:dyDescent="0.2">
      <c r="A20" s="106" t="s">
        <v>157</v>
      </c>
      <c r="B20" s="86">
        <f>-'Cash Flow Statement'!C66/'Income Statement'!D24</f>
        <v>0.85268768428215014</v>
      </c>
      <c r="C20" s="86">
        <f>-'Cash Flow Statement'!D66/'Income Statement'!E24</f>
        <v>0.84912668138927927</v>
      </c>
      <c r="D20" s="86">
        <f>-'Cash Flow Statement'!E66/'Income Statement'!F24</f>
        <v>0.92920703974688545</v>
      </c>
      <c r="E20" s="86">
        <f>-'Cash Flow Statement'!F66/'Income Statement'!G24</f>
        <v>1.1689664883131512</v>
      </c>
      <c r="F20" s="85">
        <f>-'Cash Flow Statement'!G66/'Income Statement'!H24</f>
        <v>0.91678765880217783</v>
      </c>
      <c r="G20" s="84">
        <f>AVERAGE($B$20:$D$20,$F$20)</f>
        <v>0.88695226605512312</v>
      </c>
      <c r="H20" s="84">
        <f>AVERAGE($B$20:$D$20,$F$20)</f>
        <v>0.88695226605512312</v>
      </c>
      <c r="I20" s="94">
        <f>AVERAGE($B$20:$D$20,$F$20)</f>
        <v>0.88695226605512312</v>
      </c>
      <c r="J20" s="94">
        <f>AVERAGE($B$20:$D$20,$F$20)</f>
        <v>0.88695226605512312</v>
      </c>
      <c r="K20" s="80" t="s">
        <v>158</v>
      </c>
    </row>
    <row r="22" spans="1:11" ht="15" customHeight="1" x14ac:dyDescent="0.2">
      <c r="A22" s="78"/>
      <c r="B22" s="78"/>
      <c r="C22" s="78"/>
      <c r="D22" s="78"/>
      <c r="E22" s="78"/>
    </row>
    <row r="23" spans="1:11" ht="15" customHeight="1" x14ac:dyDescent="0.2">
      <c r="A23" s="78"/>
      <c r="B23" s="78"/>
      <c r="C23" s="78"/>
      <c r="D23" s="78"/>
      <c r="E23" s="78"/>
    </row>
    <row r="24" spans="1:11" ht="15" customHeight="1" x14ac:dyDescent="0.2">
      <c r="A24" s="78"/>
      <c r="B24" s="78"/>
      <c r="C24" s="66" t="s">
        <v>170</v>
      </c>
    </row>
    <row r="25" spans="1:11" x14ac:dyDescent="0.2">
      <c r="D25" s="95" t="s">
        <v>171</v>
      </c>
      <c r="E25" s="95" t="s">
        <v>173</v>
      </c>
      <c r="G25" s="95" t="s">
        <v>168</v>
      </c>
      <c r="H25" s="95" t="s">
        <v>169</v>
      </c>
      <c r="J25" s="95" t="s">
        <v>172</v>
      </c>
      <c r="K25" s="95" t="s">
        <v>173</v>
      </c>
    </row>
    <row r="26" spans="1:11" ht="15" customHeight="1" x14ac:dyDescent="0.2">
      <c r="A26" s="78"/>
      <c r="B26" s="78"/>
      <c r="C26" s="78"/>
      <c r="D26" s="96">
        <f>Assumption!G6</f>
        <v>6.3223156029773325E-2</v>
      </c>
      <c r="E26" s="97">
        <f>'FY 26-27E Projected'!L24</f>
        <v>13281.912108231503</v>
      </c>
      <c r="F26" s="84"/>
      <c r="G26" s="98">
        <f>J16</f>
        <v>174.0922521789465</v>
      </c>
      <c r="H26" s="99">
        <f>'Cash Flow Statement'!K75</f>
        <v>12392.424163228821</v>
      </c>
      <c r="J26" s="96">
        <f>G7</f>
        <v>0.49920458912239252</v>
      </c>
      <c r="K26" s="97">
        <f>'FY 26-27E Projected'!L24</f>
        <v>13281.912108231503</v>
      </c>
    </row>
    <row r="27" spans="1:11" ht="15" customHeight="1" x14ac:dyDescent="0.2">
      <c r="A27" s="78"/>
      <c r="B27" s="78"/>
      <c r="C27" s="78"/>
      <c r="D27" s="79">
        <v>0.01</v>
      </c>
      <c r="E27" s="97">
        <f t="dataTable" ref="E27:E33" dt2D="0" dtr="0" r1="G6"/>
        <v>12639.480034461383</v>
      </c>
      <c r="F27" s="100"/>
      <c r="G27" s="101">
        <v>100</v>
      </c>
      <c r="H27" s="99">
        <f t="dataTable" ref="H27:H33" dt2D="0" dtr="0" r1="J16" ca="1"/>
        <v>4366.9122713261122</v>
      </c>
      <c r="J27" s="102">
        <v>0.48</v>
      </c>
      <c r="K27" s="97">
        <f t="dataTable" ref="K27:K32" dt2D="0" dtr="0" r1="J7" ca="1"/>
        <v>14431.58137341015</v>
      </c>
    </row>
    <row r="28" spans="1:11" x14ac:dyDescent="0.2">
      <c r="D28" s="79">
        <v>0.02</v>
      </c>
      <c r="E28" s="97">
        <v>12760.185404396741</v>
      </c>
      <c r="F28" s="100"/>
      <c r="G28" s="101">
        <v>120</v>
      </c>
      <c r="H28" s="99">
        <v>6533.2688486696152</v>
      </c>
      <c r="J28" s="102">
        <v>0.49</v>
      </c>
      <c r="K28" s="97">
        <v>13832.938383522833</v>
      </c>
    </row>
    <row r="29" spans="1:11" x14ac:dyDescent="0.2">
      <c r="D29" s="79">
        <v>0.03</v>
      </c>
      <c r="E29" s="97">
        <v>12880.890774332096</v>
      </c>
      <c r="F29" s="100"/>
      <c r="G29" s="101">
        <v>140</v>
      </c>
      <c r="H29" s="99">
        <v>8699.6254260131136</v>
      </c>
      <c r="J29" s="102">
        <v>0.5</v>
      </c>
      <c r="K29" s="97">
        <v>13234.295393635521</v>
      </c>
    </row>
    <row r="30" spans="1:11" x14ac:dyDescent="0.2">
      <c r="D30" s="79">
        <v>3.85E-2</v>
      </c>
      <c r="E30" s="97">
        <v>12983.490338777166</v>
      </c>
      <c r="F30" s="100"/>
      <c r="G30" s="101">
        <v>151.6</v>
      </c>
      <c r="H30" s="99">
        <v>9956.1122408723459</v>
      </c>
      <c r="J30" s="102">
        <v>0.50160000000000005</v>
      </c>
      <c r="K30" s="97">
        <v>13138.512515253547</v>
      </c>
    </row>
    <row r="31" spans="1:11" x14ac:dyDescent="0.2">
      <c r="D31" s="79">
        <v>0.05</v>
      </c>
      <c r="E31" s="97">
        <v>13122.301514202823</v>
      </c>
      <c r="F31" s="100"/>
      <c r="G31" s="101">
        <v>160</v>
      </c>
      <c r="H31" s="99">
        <v>10865.982003356617</v>
      </c>
      <c r="J31" s="102">
        <v>0.51</v>
      </c>
      <c r="K31" s="97">
        <v>12635.652403748209</v>
      </c>
    </row>
    <row r="32" spans="1:11" x14ac:dyDescent="0.2">
      <c r="D32" s="79">
        <v>0.06</v>
      </c>
      <c r="E32" s="97">
        <v>13243.006884138189</v>
      </c>
      <c r="F32" s="100"/>
      <c r="G32" s="101">
        <v>180</v>
      </c>
      <c r="H32" s="99">
        <v>13032.338580700118</v>
      </c>
      <c r="J32" s="102">
        <v>0.52</v>
      </c>
      <c r="K32" s="97">
        <v>12037.009413860891</v>
      </c>
    </row>
    <row r="33" spans="4:8" x14ac:dyDescent="0.2">
      <c r="D33" s="79">
        <v>7.0000000000000007E-2</v>
      </c>
      <c r="E33" s="97">
        <v>13363.712254073547</v>
      </c>
      <c r="G33" s="101">
        <v>200</v>
      </c>
      <c r="H33" s="99">
        <v>15198.695158043616</v>
      </c>
    </row>
  </sheetData>
  <mergeCells count="2">
    <mergeCell ref="A1:J1"/>
    <mergeCell ref="A2:B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 tint="-0.499984740745262"/>
  </sheetPr>
  <dimension ref="A1:L28"/>
  <sheetViews>
    <sheetView topLeftCell="B1" zoomScale="110" zoomScaleNormal="110" workbookViewId="0">
      <pane xSplit="1" topLeftCell="C1" activePane="topRight" state="frozen"/>
      <selection activeCell="B1" sqref="B1"/>
      <selection pane="topRight" activeCell="M5" sqref="A1:XFD1048576"/>
    </sheetView>
  </sheetViews>
  <sheetFormatPr defaultColWidth="9.140625" defaultRowHeight="12.75" x14ac:dyDescent="0.2"/>
  <cols>
    <col min="1" max="1" width="2.5703125" style="24" hidden="1" customWidth="1"/>
    <col min="2" max="2" width="43.140625" style="24" bestFit="1" customWidth="1"/>
    <col min="3" max="8" width="21.28515625" style="24" bestFit="1" customWidth="1"/>
    <col min="9" max="12" width="20.85546875" style="24" bestFit="1" customWidth="1"/>
    <col min="13" max="16384" width="9.140625" style="24"/>
  </cols>
  <sheetData>
    <row r="1" spans="2:12" ht="18" x14ac:dyDescent="0.25">
      <c r="B1" s="112" t="s">
        <v>239</v>
      </c>
      <c r="C1" s="112"/>
      <c r="D1" s="112"/>
      <c r="E1" s="112"/>
      <c r="F1" s="112"/>
      <c r="G1" s="112"/>
      <c r="H1" s="112"/>
      <c r="I1" s="112"/>
      <c r="J1" s="112"/>
      <c r="K1" s="112"/>
      <c r="L1" s="112"/>
    </row>
    <row r="2" spans="2:12" x14ac:dyDescent="0.2">
      <c r="B2" s="24" t="s">
        <v>230</v>
      </c>
    </row>
    <row r="3" spans="2:12" ht="14.25" customHeight="1" x14ac:dyDescent="0.2">
      <c r="B3" s="109" t="s">
        <v>1</v>
      </c>
      <c r="C3" s="29" t="s">
        <v>21</v>
      </c>
      <c r="D3" s="29" t="s">
        <v>22</v>
      </c>
      <c r="E3" s="29" t="s">
        <v>23</v>
      </c>
      <c r="F3" s="29" t="s">
        <v>24</v>
      </c>
      <c r="G3" s="29" t="s">
        <v>25</v>
      </c>
      <c r="H3" s="29" t="s">
        <v>26</v>
      </c>
      <c r="I3" s="30" t="s">
        <v>176</v>
      </c>
      <c r="J3" s="30" t="s">
        <v>177</v>
      </c>
      <c r="K3" s="30" t="s">
        <v>178</v>
      </c>
      <c r="L3" s="30" t="s">
        <v>179</v>
      </c>
    </row>
    <row r="4" spans="2:12" ht="14.25" customHeight="1" x14ac:dyDescent="0.2"/>
    <row r="5" spans="2:12" ht="14.25" customHeight="1" x14ac:dyDescent="0.2">
      <c r="B5" s="66" t="s">
        <v>2</v>
      </c>
      <c r="C5" s="110"/>
      <c r="D5" s="110"/>
      <c r="E5" s="110"/>
      <c r="F5" s="110"/>
      <c r="G5" s="110"/>
      <c r="H5" s="34"/>
      <c r="I5" s="34"/>
      <c r="J5" s="34"/>
      <c r="K5" s="34"/>
      <c r="L5" s="34"/>
    </row>
    <row r="6" spans="2:12" ht="14.25" customHeight="1" x14ac:dyDescent="0.2">
      <c r="B6" s="115" t="s">
        <v>3</v>
      </c>
      <c r="C6" s="47">
        <f>Table4[[#This Row],[As at  31st March 2021]]</f>
        <v>45996</v>
      </c>
      <c r="D6" s="47">
        <v>51193</v>
      </c>
      <c r="E6" s="47">
        <v>59144</v>
      </c>
      <c r="F6" s="47">
        <v>60469</v>
      </c>
      <c r="G6" s="47">
        <f>Table4[[#This Row],[As at  31st March 2025]]</f>
        <v>59676</v>
      </c>
      <c r="H6" s="47">
        <f>Table4[[#This Row],[As at  31st March 2026]]</f>
        <v>61975</v>
      </c>
      <c r="I6" s="49">
        <f>H6*(1+Assumption!G6)</f>
        <v>65893.255094945198</v>
      </c>
      <c r="J6" s="49">
        <f>I6*(1+Assumption!H6)</f>
        <v>70059.234643122574</v>
      </c>
      <c r="K6" s="49">
        <f>J6*(1+Assumption!I6)</f>
        <v>74488.600566291221</v>
      </c>
      <c r="L6" s="49">
        <f>K6*(1+Assumption!J6)</f>
        <v>79198.00498233331</v>
      </c>
    </row>
    <row r="7" spans="2:12" ht="14.25" customHeight="1" x14ac:dyDescent="0.2">
      <c r="B7" s="115" t="s">
        <v>4</v>
      </c>
      <c r="C7" s="47">
        <f>Table4[[#This Row],[As at  31st March 2021]]</f>
        <v>513</v>
      </c>
      <c r="D7" s="47">
        <v>393</v>
      </c>
      <c r="E7" s="47">
        <v>640</v>
      </c>
      <c r="F7" s="47">
        <v>973</v>
      </c>
      <c r="G7" s="47">
        <f>Table4[[#This Row],[As at  31st March 2025]]</f>
        <v>1177</v>
      </c>
      <c r="H7" s="47">
        <f>Table4[[#This Row],[As at  31st March 2026]]</f>
        <v>959</v>
      </c>
      <c r="I7" s="47">
        <v>959</v>
      </c>
      <c r="J7" s="47">
        <v>959</v>
      </c>
      <c r="K7" s="47">
        <v>959</v>
      </c>
      <c r="L7" s="47">
        <v>959</v>
      </c>
    </row>
    <row r="8" spans="2:12" ht="14.25" customHeight="1" x14ac:dyDescent="0.2">
      <c r="B8" s="110" t="s">
        <v>5</v>
      </c>
      <c r="C8" s="52">
        <f t="shared" ref="C8:L8" si="0">SUM(C6:C7)</f>
        <v>46509</v>
      </c>
      <c r="D8" s="52">
        <f t="shared" si="0"/>
        <v>51586</v>
      </c>
      <c r="E8" s="52">
        <f t="shared" si="0"/>
        <v>59784</v>
      </c>
      <c r="F8" s="52">
        <f t="shared" si="0"/>
        <v>61442</v>
      </c>
      <c r="G8" s="52">
        <f t="shared" si="0"/>
        <v>60853</v>
      </c>
      <c r="H8" s="52">
        <f t="shared" si="0"/>
        <v>62934</v>
      </c>
      <c r="I8" s="52">
        <f t="shared" si="0"/>
        <v>66852.255094945198</v>
      </c>
      <c r="J8" s="52">
        <f t="shared" si="0"/>
        <v>71018.234643122574</v>
      </c>
      <c r="K8" s="52">
        <f t="shared" si="0"/>
        <v>75447.600566291221</v>
      </c>
      <c r="L8" s="52">
        <f t="shared" si="0"/>
        <v>80157.00498233331</v>
      </c>
    </row>
    <row r="9" spans="2:12" ht="14.25" customHeight="1" x14ac:dyDescent="0.2">
      <c r="C9" s="47"/>
      <c r="D9" s="47"/>
      <c r="E9" s="47"/>
      <c r="F9" s="47"/>
      <c r="G9" s="47"/>
      <c r="H9" s="47"/>
      <c r="I9" s="49"/>
      <c r="J9" s="49"/>
      <c r="K9" s="49"/>
      <c r="L9" s="49"/>
    </row>
    <row r="10" spans="2:12" ht="14.25" customHeight="1" x14ac:dyDescent="0.2">
      <c r="B10" s="66" t="s">
        <v>6</v>
      </c>
      <c r="C10" s="47"/>
      <c r="D10" s="47"/>
      <c r="E10" s="47"/>
      <c r="F10" s="47"/>
      <c r="G10" s="47"/>
      <c r="H10" s="47"/>
      <c r="I10" s="49"/>
      <c r="J10" s="49"/>
      <c r="K10" s="49"/>
      <c r="L10" s="49"/>
    </row>
    <row r="11" spans="2:12" ht="14.25" customHeight="1" x14ac:dyDescent="0.2">
      <c r="B11" s="115" t="s">
        <v>159</v>
      </c>
      <c r="C11" s="47">
        <f>'Income Statement'!C10</f>
        <v>14951</v>
      </c>
      <c r="D11" s="47">
        <v>15869</v>
      </c>
      <c r="E11" s="47">
        <v>19229</v>
      </c>
      <c r="F11" s="47">
        <v>17791</v>
      </c>
      <c r="G11" s="47">
        <f>'Income Statement'!G10</f>
        <v>17274</v>
      </c>
      <c r="H11" s="47">
        <f>'Income Statement'!H10</f>
        <v>18726</v>
      </c>
      <c r="I11" s="49">
        <f>I6*Assumption!G7</f>
        <v>32894.215335609115</v>
      </c>
      <c r="J11" s="49">
        <f>J6*Assumption!H7</f>
        <v>34973.89144424929</v>
      </c>
      <c r="K11" s="49">
        <f>K6*Assumption!I7</f>
        <v>37185.051239997425</v>
      </c>
      <c r="L11" s="49">
        <f>L6*Assumption!J7</f>
        <v>39536.007536518897</v>
      </c>
    </row>
    <row r="12" spans="2:12" ht="14.25" customHeight="1" x14ac:dyDescent="0.2">
      <c r="B12" s="115" t="s">
        <v>8</v>
      </c>
      <c r="C12" s="47">
        <f>'Income Statement'!C11</f>
        <v>7117</v>
      </c>
      <c r="D12" s="47">
        <v>9274</v>
      </c>
      <c r="E12" s="47">
        <v>11968</v>
      </c>
      <c r="F12" s="47">
        <v>11544</v>
      </c>
      <c r="G12" s="47">
        <f>'Income Statement'!G11</f>
        <v>12172</v>
      </c>
      <c r="H12" s="47">
        <f>'Income Statement'!H11</f>
        <v>12753</v>
      </c>
      <c r="I12" s="47">
        <v>0</v>
      </c>
      <c r="J12" s="47">
        <v>0</v>
      </c>
      <c r="K12" s="47">
        <v>0</v>
      </c>
      <c r="L12" s="47">
        <v>0</v>
      </c>
    </row>
    <row r="13" spans="2:12" ht="32.25" customHeight="1" x14ac:dyDescent="0.2">
      <c r="B13" s="116" t="s">
        <v>9</v>
      </c>
      <c r="C13" s="47">
        <f>'Income Statement'!C12</f>
        <v>-391</v>
      </c>
      <c r="D13" s="47">
        <v>-19</v>
      </c>
      <c r="E13" s="47">
        <v>-53</v>
      </c>
      <c r="F13" s="47">
        <v>-8</v>
      </c>
      <c r="G13" s="47">
        <f>'Income Statement'!G12</f>
        <v>-78</v>
      </c>
      <c r="H13" s="47">
        <f>'Income Statement'!H12</f>
        <v>-395</v>
      </c>
      <c r="I13" s="47">
        <v>0</v>
      </c>
      <c r="J13" s="47">
        <v>0</v>
      </c>
      <c r="K13" s="47">
        <v>0</v>
      </c>
      <c r="L13" s="47">
        <v>0</v>
      </c>
    </row>
    <row r="14" spans="2:12" ht="14.25" customHeight="1" x14ac:dyDescent="0.2">
      <c r="B14" s="115" t="s">
        <v>10</v>
      </c>
      <c r="C14" s="47">
        <f>'Income Statement'!C13</f>
        <v>2229</v>
      </c>
      <c r="D14" s="47">
        <v>2399</v>
      </c>
      <c r="E14" s="47">
        <v>2665</v>
      </c>
      <c r="F14" s="47">
        <v>2782</v>
      </c>
      <c r="G14" s="47">
        <f>'Income Statement'!G13</f>
        <v>2715</v>
      </c>
      <c r="H14" s="47">
        <f>'Income Statement'!H13</f>
        <v>2843</v>
      </c>
      <c r="I14" s="49">
        <f>I6*Assumption!G8</f>
        <v>3021.8310600979044</v>
      </c>
      <c r="J14" s="49">
        <f>J6*Assumption!H8</f>
        <v>3212.8807567060894</v>
      </c>
      <c r="K14" s="49">
        <f>K6*Assumption!I8</f>
        <v>3416.0092180923752</v>
      </c>
      <c r="L14" s="49">
        <f>L6*Assumption!J8</f>
        <v>3631.9801018869734</v>
      </c>
    </row>
    <row r="15" spans="2:12" ht="14.25" customHeight="1" x14ac:dyDescent="0.2">
      <c r="B15" s="115" t="s">
        <v>11</v>
      </c>
      <c r="C15" s="47">
        <f>'Income Statement'!C14</f>
        <v>108</v>
      </c>
      <c r="D15" s="47">
        <v>98</v>
      </c>
      <c r="E15" s="47">
        <v>101</v>
      </c>
      <c r="F15" s="47">
        <v>302</v>
      </c>
      <c r="G15" s="47">
        <f>'Income Statement'!G14</f>
        <v>350</v>
      </c>
      <c r="H15" s="47">
        <f>'Income Statement'!H14</f>
        <v>363</v>
      </c>
      <c r="I15" s="47">
        <v>363</v>
      </c>
      <c r="J15" s="47">
        <v>364</v>
      </c>
      <c r="K15" s="47">
        <v>365</v>
      </c>
      <c r="L15" s="47">
        <v>366</v>
      </c>
    </row>
    <row r="16" spans="2:12" ht="14.25" customHeight="1" x14ac:dyDescent="0.2">
      <c r="B16" s="115" t="s">
        <v>12</v>
      </c>
      <c r="C16" s="47">
        <f>'Income Statement'!C15</f>
        <v>1012</v>
      </c>
      <c r="D16" s="47">
        <v>1025</v>
      </c>
      <c r="E16" s="47">
        <v>1030</v>
      </c>
      <c r="F16" s="47">
        <v>1097</v>
      </c>
      <c r="G16" s="47">
        <f>'Income Statement'!G15</f>
        <v>1122</v>
      </c>
      <c r="H16" s="47">
        <f>'Income Statement'!H15</f>
        <v>1186</v>
      </c>
      <c r="I16" s="49">
        <f>I6*Assumption!G10</f>
        <v>1306.6600598739826</v>
      </c>
      <c r="J16" s="49">
        <f>J6*Assumption!H10</f>
        <v>1430.0798963037143</v>
      </c>
      <c r="K16" s="49">
        <f>K6*Assumption!I10</f>
        <v>1563.882776814505</v>
      </c>
      <c r="L16" s="49">
        <f>L6*Assumption!J10</f>
        <v>1708.8882692844613</v>
      </c>
    </row>
    <row r="17" spans="2:12" ht="14.25" customHeight="1" x14ac:dyDescent="0.2">
      <c r="B17" s="115" t="s">
        <v>13</v>
      </c>
      <c r="C17" s="47">
        <f>'Income Statement'!C16</f>
        <v>10766</v>
      </c>
      <c r="D17" s="47">
        <v>11167</v>
      </c>
      <c r="E17" s="47">
        <v>11703</v>
      </c>
      <c r="F17" s="47">
        <v>14170</v>
      </c>
      <c r="G17" s="47">
        <f>'Income Statement'!G16</f>
        <v>13449</v>
      </c>
      <c r="H17" s="47">
        <f>'Income Statement'!H16</f>
        <v>13584</v>
      </c>
      <c r="I17" s="49">
        <f>I6*Assumption!G9</f>
        <v>14429.243922753982</v>
      </c>
      <c r="J17" s="49">
        <f>J6*Assumption!H9</f>
        <v>15341.506262673916</v>
      </c>
      <c r="K17" s="49">
        <f>K6*Assumption!I9</f>
        <v>16311.444706850696</v>
      </c>
      <c r="L17" s="49">
        <f>L6*Assumption!J9</f>
        <v>17342.705720622936</v>
      </c>
    </row>
    <row r="18" spans="2:12" ht="14.25" customHeight="1" x14ac:dyDescent="0.2">
      <c r="B18" s="110" t="s">
        <v>14</v>
      </c>
      <c r="C18" s="118">
        <f>'Income Statement'!C17</f>
        <v>35792</v>
      </c>
      <c r="D18" s="118">
        <f t="shared" ref="D18:L18" si="1">SUM(D11:D17)</f>
        <v>39813</v>
      </c>
      <c r="E18" s="118">
        <f t="shared" si="1"/>
        <v>46643</v>
      </c>
      <c r="F18" s="118">
        <f t="shared" si="1"/>
        <v>47678</v>
      </c>
      <c r="G18" s="118">
        <f t="shared" si="1"/>
        <v>47004</v>
      </c>
      <c r="H18" s="118">
        <f t="shared" si="1"/>
        <v>49060</v>
      </c>
      <c r="I18" s="52">
        <f t="shared" si="1"/>
        <v>52014.950378334979</v>
      </c>
      <c r="J18" s="52">
        <f t="shared" si="1"/>
        <v>55322.358359933009</v>
      </c>
      <c r="K18" s="52">
        <f t="shared" si="1"/>
        <v>58841.387941755005</v>
      </c>
      <c r="L18" s="52">
        <f t="shared" si="1"/>
        <v>62585.581628313274</v>
      </c>
    </row>
    <row r="19" spans="2:12" ht="14.25" customHeight="1" x14ac:dyDescent="0.2">
      <c r="C19" s="47"/>
      <c r="D19" s="47"/>
      <c r="E19" s="47"/>
      <c r="F19" s="47"/>
      <c r="G19" s="47"/>
      <c r="H19" s="47"/>
      <c r="I19" s="49"/>
      <c r="J19" s="49"/>
      <c r="K19" s="49"/>
      <c r="L19" s="49"/>
    </row>
    <row r="20" spans="2:12" ht="14.25" customHeight="1" x14ac:dyDescent="0.2">
      <c r="B20" s="117" t="s">
        <v>218</v>
      </c>
      <c r="C20" s="47">
        <f>'Income Statement'!C18</f>
        <v>10717</v>
      </c>
      <c r="D20" s="47">
        <v>11773</v>
      </c>
      <c r="E20" s="47">
        <v>13141</v>
      </c>
      <c r="F20" s="47">
        <v>13764</v>
      </c>
      <c r="G20" s="47">
        <f>'Income Statement'!G18</f>
        <v>13849</v>
      </c>
      <c r="H20" s="47">
        <f>'Income Statement'!H18</f>
        <v>13874</v>
      </c>
      <c r="I20" s="49">
        <f>I8-I18</f>
        <v>14837.304716610219</v>
      </c>
      <c r="J20" s="49">
        <f>J8-J18</f>
        <v>15695.876283189566</v>
      </c>
      <c r="K20" s="49">
        <f>K8-K18</f>
        <v>16606.212624536216</v>
      </c>
      <c r="L20" s="49">
        <f>L8-L18</f>
        <v>17571.423354020037</v>
      </c>
    </row>
    <row r="21" spans="2:12" ht="14.25" customHeight="1" x14ac:dyDescent="0.2">
      <c r="B21" s="117" t="s">
        <v>16</v>
      </c>
      <c r="C21" s="47">
        <f>'Income Statement'!C19</f>
        <v>-227</v>
      </c>
      <c r="D21" s="47">
        <v>-34</v>
      </c>
      <c r="E21" s="47">
        <v>-62</v>
      </c>
      <c r="F21" s="47">
        <v>-89</v>
      </c>
      <c r="G21" s="47">
        <f>'Income Statement'!G19</f>
        <v>464</v>
      </c>
      <c r="H21" s="47">
        <f>'Income Statement'!H19</f>
        <v>206</v>
      </c>
      <c r="I21" s="47">
        <v>0</v>
      </c>
      <c r="J21" s="47">
        <v>0</v>
      </c>
      <c r="K21" s="47">
        <v>0</v>
      </c>
      <c r="L21" s="47">
        <v>0</v>
      </c>
    </row>
    <row r="22" spans="2:12" ht="14.25" customHeight="1" x14ac:dyDescent="0.2">
      <c r="B22" s="110" t="s">
        <v>221</v>
      </c>
      <c r="C22" s="118">
        <f t="shared" ref="C22:L22" si="2">SUM(C20:C21)</f>
        <v>10490</v>
      </c>
      <c r="D22" s="118">
        <f t="shared" si="2"/>
        <v>11739</v>
      </c>
      <c r="E22" s="118">
        <f t="shared" si="2"/>
        <v>13079</v>
      </c>
      <c r="F22" s="118">
        <f t="shared" si="2"/>
        <v>13675</v>
      </c>
      <c r="G22" s="118">
        <f t="shared" si="2"/>
        <v>14313</v>
      </c>
      <c r="H22" s="118">
        <f t="shared" si="2"/>
        <v>14080</v>
      </c>
      <c r="I22" s="52">
        <f t="shared" si="2"/>
        <v>14837.304716610219</v>
      </c>
      <c r="J22" s="52">
        <f t="shared" si="2"/>
        <v>15695.876283189566</v>
      </c>
      <c r="K22" s="52">
        <f t="shared" si="2"/>
        <v>16606.212624536216</v>
      </c>
      <c r="L22" s="52">
        <f t="shared" si="2"/>
        <v>17571.423354020037</v>
      </c>
    </row>
    <row r="23" spans="2:12" ht="14.25" customHeight="1" x14ac:dyDescent="0.2">
      <c r="B23" s="113" t="s">
        <v>18</v>
      </c>
      <c r="C23" s="47">
        <f>'Income Statement'!C22+Table4[[#This Row],[As at  31st March 2021]]</f>
        <v>-2536</v>
      </c>
      <c r="D23" s="47">
        <f>-2778-143</f>
        <v>-2921</v>
      </c>
      <c r="E23" s="47">
        <f>-2922-195</f>
        <v>-3117</v>
      </c>
      <c r="F23" s="47">
        <f>-3446-115</f>
        <v>-3561</v>
      </c>
      <c r="G23" s="47">
        <f>SUM('Income Statement'!G22:G23)</f>
        <v>-3660</v>
      </c>
      <c r="H23" s="47">
        <f>SUM('Income Statement'!H22:H23)</f>
        <v>-3060</v>
      </c>
      <c r="I23" s="49">
        <f>I22*Assumption!G11</f>
        <v>3622.0620354315215</v>
      </c>
      <c r="J23" s="49">
        <f>J22*Assumption!H11</f>
        <v>3831.6553231212074</v>
      </c>
      <c r="K23" s="49">
        <f>K22*Assumption!I11</f>
        <v>4053.8853550874605</v>
      </c>
      <c r="L23" s="49">
        <f>L22*Assumption!J11</f>
        <v>4289.5112457885334</v>
      </c>
    </row>
    <row r="24" spans="2:12" ht="12.75" customHeight="1" x14ac:dyDescent="0.2">
      <c r="B24" s="110" t="s">
        <v>220</v>
      </c>
      <c r="C24" s="118">
        <f t="shared" ref="C24:G24" si="3">C22+C23</f>
        <v>7954</v>
      </c>
      <c r="D24" s="118">
        <f t="shared" si="3"/>
        <v>8818</v>
      </c>
      <c r="E24" s="118">
        <f t="shared" si="3"/>
        <v>9962</v>
      </c>
      <c r="F24" s="118">
        <f t="shared" si="3"/>
        <v>10114</v>
      </c>
      <c r="G24" s="118">
        <f t="shared" si="3"/>
        <v>10653</v>
      </c>
      <c r="H24" s="118">
        <f>H22+H23</f>
        <v>11020</v>
      </c>
      <c r="I24" s="52">
        <f>I22-I23</f>
        <v>11215.242681178697</v>
      </c>
      <c r="J24" s="52">
        <f>J22-J23</f>
        <v>11864.220960068358</v>
      </c>
      <c r="K24" s="52">
        <f>K22-K23</f>
        <v>12552.327269448755</v>
      </c>
      <c r="L24" s="52">
        <f>L22-L23</f>
        <v>13281.912108231503</v>
      </c>
    </row>
    <row r="25" spans="2:12" ht="14.25" customHeight="1" x14ac:dyDescent="0.2">
      <c r="B25" s="114" t="s">
        <v>175</v>
      </c>
      <c r="C25" s="49">
        <f>C20+C16</f>
        <v>11729</v>
      </c>
      <c r="D25" s="49">
        <f t="shared" ref="D25:L25" si="4">D20+D16</f>
        <v>12798</v>
      </c>
      <c r="E25" s="49">
        <f t="shared" si="4"/>
        <v>14171</v>
      </c>
      <c r="F25" s="49">
        <f t="shared" si="4"/>
        <v>14861</v>
      </c>
      <c r="G25" s="49">
        <f t="shared" si="4"/>
        <v>14971</v>
      </c>
      <c r="H25" s="49">
        <f t="shared" si="4"/>
        <v>15060</v>
      </c>
      <c r="I25" s="49">
        <f t="shared" si="4"/>
        <v>16143.964776484201</v>
      </c>
      <c r="J25" s="49">
        <f t="shared" si="4"/>
        <v>17125.956179493282</v>
      </c>
      <c r="K25" s="49">
        <f t="shared" si="4"/>
        <v>18170.095401350722</v>
      </c>
      <c r="L25" s="49">
        <f t="shared" si="4"/>
        <v>19280.311623304497</v>
      </c>
    </row>
    <row r="26" spans="2:12" ht="14.25" customHeight="1" x14ac:dyDescent="0.2">
      <c r="B26" s="114" t="s">
        <v>174</v>
      </c>
      <c r="C26" s="49">
        <f>C6-C11-C12-C13</f>
        <v>24319</v>
      </c>
      <c r="D26" s="49">
        <f t="shared" ref="D26:L26" si="5">D6-D11-D12-D13</f>
        <v>26069</v>
      </c>
      <c r="E26" s="49">
        <f t="shared" si="5"/>
        <v>28000</v>
      </c>
      <c r="F26" s="49">
        <f t="shared" si="5"/>
        <v>31142</v>
      </c>
      <c r="G26" s="49">
        <f t="shared" si="5"/>
        <v>30308</v>
      </c>
      <c r="H26" s="49">
        <f t="shared" si="5"/>
        <v>30891</v>
      </c>
      <c r="I26" s="49">
        <f t="shared" si="5"/>
        <v>32999.039759336083</v>
      </c>
      <c r="J26" s="49">
        <f t="shared" si="5"/>
        <v>35085.343198873285</v>
      </c>
      <c r="K26" s="49">
        <f t="shared" si="5"/>
        <v>37303.549326293796</v>
      </c>
      <c r="L26" s="49">
        <f t="shared" si="5"/>
        <v>39661.997445814413</v>
      </c>
    </row>
    <row r="27" spans="2:12" ht="14.25" customHeight="1" x14ac:dyDescent="0.2">
      <c r="I27" s="111"/>
    </row>
    <row r="28" spans="2:12" ht="14.25" customHeight="1" x14ac:dyDescent="0.2">
      <c r="I28" s="111"/>
    </row>
  </sheetData>
  <mergeCells count="1">
    <mergeCell ref="B1:L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-0.499984740745262"/>
  </sheetPr>
  <dimension ref="A1:K15"/>
  <sheetViews>
    <sheetView zoomScaleNormal="100" workbookViewId="0">
      <pane xSplit="1" topLeftCell="B1" activePane="topRight" state="frozen"/>
      <selection pane="topRight" activeCell="M11" sqref="M11"/>
    </sheetView>
  </sheetViews>
  <sheetFormatPr defaultColWidth="8.7109375" defaultRowHeight="12.75" x14ac:dyDescent="0.2"/>
  <cols>
    <col min="1" max="1" width="31.7109375" style="24" bestFit="1" customWidth="1"/>
    <col min="2" max="7" width="11.140625" style="24" bestFit="1" customWidth="1"/>
    <col min="8" max="11" width="14.28515625" style="24" bestFit="1" customWidth="1"/>
    <col min="12" max="16384" width="8.7109375" style="24"/>
  </cols>
  <sheetData>
    <row r="1" spans="1:11" ht="18" x14ac:dyDescent="0.25">
      <c r="A1" s="112" t="s">
        <v>240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</row>
    <row r="2" spans="1:11" x14ac:dyDescent="0.2">
      <c r="A2" s="24" t="s">
        <v>241</v>
      </c>
    </row>
    <row r="3" spans="1:11" s="31" customFormat="1" ht="28.5" customHeight="1" x14ac:dyDescent="0.25">
      <c r="A3" s="28" t="s">
        <v>1</v>
      </c>
      <c r="B3" s="29" t="s">
        <v>21</v>
      </c>
      <c r="C3" s="29" t="s">
        <v>22</v>
      </c>
      <c r="D3" s="29" t="s">
        <v>23</v>
      </c>
      <c r="E3" s="29" t="s">
        <v>24</v>
      </c>
      <c r="F3" s="29" t="s">
        <v>25</v>
      </c>
      <c r="G3" s="29" t="s">
        <v>26</v>
      </c>
      <c r="H3" s="30" t="s">
        <v>176</v>
      </c>
      <c r="I3" s="30" t="s">
        <v>177</v>
      </c>
      <c r="J3" s="30" t="s">
        <v>178</v>
      </c>
      <c r="K3" s="30" t="s">
        <v>179</v>
      </c>
    </row>
    <row r="5" spans="1:11" x14ac:dyDescent="0.2">
      <c r="A5" s="114" t="s">
        <v>160</v>
      </c>
      <c r="B5" s="119">
        <f>'Income Statement'!C24/'Income Statement'!C6</f>
        <v>0.1729280807026698</v>
      </c>
      <c r="C5" s="119">
        <f>'Income Statement'!D24/'Income Statement'!D6</f>
        <v>0.17225011232004375</v>
      </c>
      <c r="D5" s="119">
        <f>'Income Statement'!E24/'Income Statement'!E6</f>
        <v>0.16843635871770593</v>
      </c>
      <c r="E5" s="119">
        <f>'Income Statement'!F24/'Income Statement'!F6</f>
        <v>0.16725925680927417</v>
      </c>
      <c r="F5" s="119">
        <f>'Income Statement'!G24/'Income Statement'!G6</f>
        <v>0.17851397546752462</v>
      </c>
      <c r="G5" s="119">
        <f>'Income Statement'!H24/'Income Statement'!H6</f>
        <v>0.17781363453005244</v>
      </c>
      <c r="H5" s="119">
        <f>'FY 26-27E Projected'!I24/'FY 26-27E Projected'!I6</f>
        <v>0.17020319704981521</v>
      </c>
      <c r="I5" s="119">
        <f>'FY 26-27E Projected'!J24/'FY 26-27E Projected'!J6</f>
        <v>0.16934556908170592</v>
      </c>
      <c r="J5" s="119">
        <f>'FY 26-27E Projected'!K24/'FY 26-27E Projected'!K6</f>
        <v>0.16851339901704551</v>
      </c>
      <c r="K5" s="119">
        <f>'FY 26-27E Projected'!L24/'FY 26-27E Projected'!L6</f>
        <v>0.16770513488558578</v>
      </c>
    </row>
    <row r="6" spans="1:11" x14ac:dyDescent="0.2">
      <c r="A6" s="114" t="s">
        <v>161</v>
      </c>
      <c r="B6" s="119">
        <f>(Table4[[#This Row],[As at  31st March 2021]]-('Income Statement'!C10+'Income Statement'!C11+'Income Statement'!C12))/Table4[[#This Row],[As at  31st March 2021]]</f>
        <v>0.52871988868597264</v>
      </c>
      <c r="C6" s="119">
        <f>(Table4[[#This Row],[As at  31st March 2022]]-('Income Statement'!D10+'Income Statement'!D11+'Income Statement'!D12))/Table4[[#This Row],[As at  31st March 2022]]</f>
        <v>0.50922977750864373</v>
      </c>
      <c r="D6" s="119">
        <f>(Table4[[#This Row],[As at  31st March 2023]]-('Income Statement'!E10+'Income Statement'!E11+'Income Statement'!E12))/Table4[[#This Row],[As at  31st March 2023]]</f>
        <v>0.47342080346273502</v>
      </c>
      <c r="E6" s="119">
        <f>(Table4[[#This Row],[As at  31st March 2024]]-('Income Statement'!F10+'Income Statement'!F11+'Income Statement'!F12))/Table4[[#This Row],[As at  31st March 2024]]</f>
        <v>0.51500768989068779</v>
      </c>
      <c r="F6" s="119">
        <f>(Table4[[#This Row],[As at  31st March 2025]]-('Income Statement'!G10+'Income Statement'!G11+'Income Statement'!G12))/Table4[[#This Row],[As at  31st March 2025]]</f>
        <v>0.50787586299349818</v>
      </c>
      <c r="G6" s="119">
        <f>(Table4[[#This Row],[As at  31st March 2026]]-('Income Statement'!H10+'Income Statement'!H11+'Income Statement'!H12))/Table4[[#This Row],[As at  31st March 2026]]</f>
        <v>0.49844292053247274</v>
      </c>
      <c r="H6" s="84">
        <f>1-Assumption!G7</f>
        <v>0.50079541087760748</v>
      </c>
      <c r="I6" s="84">
        <f>1-Assumption!H7</f>
        <v>0.50079541087760748</v>
      </c>
      <c r="J6" s="84">
        <f>1-Assumption!I7</f>
        <v>0.50079541087760748</v>
      </c>
      <c r="K6" s="84">
        <f>1-Assumption!J7</f>
        <v>0.50079541087760748</v>
      </c>
    </row>
    <row r="7" spans="1:11" x14ac:dyDescent="0.2">
      <c r="A7" s="114" t="s">
        <v>162</v>
      </c>
      <c r="B7" s="119">
        <f>('Income Statement'!C20+'Income Statement'!C14)/'Income Statement'!C6</f>
        <v>0.23041134011653186</v>
      </c>
      <c r="C7" s="119">
        <f>('Income Statement'!D20+'Income Statement'!D14)/'Income Statement'!D6</f>
        <v>0.23122301877209775</v>
      </c>
      <c r="D7" s="119">
        <f>('Income Statement'!E20+'Income Statement'!E14)/'Income Statement'!E6</f>
        <v>0.22284593534424454</v>
      </c>
      <c r="E7" s="119">
        <f>('Income Statement'!F20+'Income Statement'!F14)/'Income Statement'!F6</f>
        <v>0.23114323041558485</v>
      </c>
      <c r="F7" s="119">
        <f>('Income Statement'!G20+'Income Statement'!G14)/'Income Statement'!G6</f>
        <v>0.24571016824183928</v>
      </c>
      <c r="G7" s="119">
        <f>('Income Statement'!H20+'Income Statement'!H14)/'Income Statement'!H6</f>
        <v>0.23304558289632918</v>
      </c>
      <c r="H7" s="84">
        <f>('FY 26-27E Projected'!I22+'FY 26-27E Projected'!I15)/'FY 26-27E Projected'!I6</f>
        <v>0.23068073803165726</v>
      </c>
      <c r="I7" s="84">
        <f>('FY 26-27E Projected'!J22+'FY 26-27E Projected'!J15)/'FY 26-27E Projected'!J6</f>
        <v>0.2292328251228776</v>
      </c>
      <c r="J7" s="84">
        <f>('FY 26-27E Projected'!K22+'FY 26-27E Projected'!K15)/'FY 26-27E Projected'!K6</f>
        <v>0.22783637355936986</v>
      </c>
      <c r="K7" s="84">
        <f>('FY 26-27E Projected'!L22+'FY 26-27E Projected'!L15)/'FY 26-27E Projected'!L6</f>
        <v>0.22648832326043233</v>
      </c>
    </row>
    <row r="8" spans="1:11" x14ac:dyDescent="0.2">
      <c r="A8" s="114" t="s">
        <v>163</v>
      </c>
      <c r="B8" s="119">
        <f>'Income Statement'!C24/'Balance Sheet'!B38</f>
        <v>0.16768562634397269</v>
      </c>
      <c r="C8" s="119">
        <f>'Income Statement'!D24/'Balance Sheet'!C38</f>
        <v>0.18084495488105004</v>
      </c>
      <c r="D8" s="119">
        <f>'Income Statement'!E24/'Balance Sheet'!D38</f>
        <v>0.19836323450349455</v>
      </c>
      <c r="E8" s="119">
        <f>'Income Statement'!F24/'Balance Sheet'!E38</f>
        <v>0.19841877072175465</v>
      </c>
      <c r="F8" s="119">
        <f>'Income Statement'!G24/'Balance Sheet'!F38</f>
        <v>0.21673143043150978</v>
      </c>
      <c r="G8" s="119">
        <f>'Income Statement'!H24/'Balance Sheet'!G38</f>
        <v>0.22387908091745728</v>
      </c>
      <c r="H8" s="119">
        <f>'FY 26-27E Projected'!I24/'Balance Sheet'!H38</f>
        <v>0.22212422557962613</v>
      </c>
      <c r="I8" s="119">
        <f>'FY 26-27E Projected'!J24/'Balance Sheet'!I38</f>
        <v>0.22889725274815723</v>
      </c>
      <c r="J8" s="119">
        <f>'FY 26-27E Projected'!K24/'Balance Sheet'!J38</f>
        <v>0.23571961645671927</v>
      </c>
      <c r="K8" s="119">
        <f>'FY 26-27E Projected'!L24/'Balance Sheet'!K38</f>
        <v>0.24258055622803221</v>
      </c>
    </row>
    <row r="9" spans="1:11" x14ac:dyDescent="0.2">
      <c r="A9" s="114" t="s">
        <v>164</v>
      </c>
      <c r="B9" s="121">
        <f>'Balance Sheet'!B32/'Balance Sheet'!B58</f>
        <v>1.2581865141592103</v>
      </c>
      <c r="C9" s="121">
        <f>'Balance Sheet'!C32/'Balance Sheet'!C58</f>
        <v>1.338358918128655</v>
      </c>
      <c r="D9" s="121">
        <f>'Balance Sheet'!D32/'Balance Sheet'!D58</f>
        <v>1.3803216650898771</v>
      </c>
      <c r="E9" s="121">
        <f>'Balance Sheet'!E32/'Balance Sheet'!E58</f>
        <v>1.6363782955736514</v>
      </c>
      <c r="F9" s="121">
        <f>'Balance Sheet'!F32/'Balance Sheet'!F58</f>
        <v>1.3335247575293516</v>
      </c>
      <c r="G9" s="121">
        <f>'Balance Sheet'!G32/'Balance Sheet'!G58</f>
        <v>1.1729881597431266</v>
      </c>
      <c r="H9" s="121">
        <f>'Balance Sheet'!H32/'Balance Sheet'!H58</f>
        <v>1.2481574105774458</v>
      </c>
      <c r="I9" s="121">
        <f>'Balance Sheet'!I32/'Balance Sheet'!I58</f>
        <v>1.309194041279482</v>
      </c>
      <c r="J9" s="121">
        <f>'Balance Sheet'!J32/'Balance Sheet'!J58</f>
        <v>1.3641566679103139</v>
      </c>
      <c r="K9" s="121">
        <f>'Balance Sheet'!K32/'Balance Sheet'!K58</f>
        <v>1.4136804872299473</v>
      </c>
    </row>
    <row r="10" spans="1:11" x14ac:dyDescent="0.2">
      <c r="A10" s="114" t="s">
        <v>165</v>
      </c>
      <c r="B10" s="121">
        <f>('Balance Sheet'!B32-'Balance Sheet'!B21)/'Balance Sheet'!B58</f>
        <v>0.94613043077206904</v>
      </c>
      <c r="C10" s="121">
        <f>('Balance Sheet'!C32-'Balance Sheet'!C21)/'Balance Sheet'!C58</f>
        <v>0.98291301169590639</v>
      </c>
      <c r="D10" s="121">
        <f>('Balance Sheet'!D32-'Balance Sheet'!D21)/'Balance Sheet'!D58</f>
        <v>1.0336286230325966</v>
      </c>
      <c r="E10" s="121">
        <f>('Balance Sheet'!E32-'Balance Sheet'!E21)/'Balance Sheet'!E58</f>
        <v>1.3290332983955495</v>
      </c>
      <c r="F10" s="121">
        <f>('Balance Sheet'!F32-'Balance Sheet'!F21)/'Balance Sheet'!F58</f>
        <v>1.0680193976518633</v>
      </c>
      <c r="G10" s="121">
        <f>('Balance Sheet'!G32-'Balance Sheet'!G21)/'Balance Sheet'!G58</f>
        <v>0.87979129038731685</v>
      </c>
      <c r="H10" s="121">
        <f>('Balance Sheet'!H32-'Balance Sheet'!H21)/'Balance Sheet'!H58</f>
        <v>0.95332428935117219</v>
      </c>
      <c r="I10" s="121">
        <f>('Balance Sheet'!I32-'Balance Sheet'!I21)/'Balance Sheet'!I58</f>
        <v>1.0239621961349752</v>
      </c>
      <c r="J10" s="121">
        <f>('Balance Sheet'!J32-'Balance Sheet'!J21)/'Balance Sheet'!J58</f>
        <v>1.0880385891503177</v>
      </c>
      <c r="K10" s="121">
        <f>('Balance Sheet'!K32-'Balance Sheet'!K21)/'Balance Sheet'!K58</f>
        <v>1.1462160210509034</v>
      </c>
    </row>
    <row r="11" spans="1:11" x14ac:dyDescent="0.2">
      <c r="A11" s="114" t="s">
        <v>242</v>
      </c>
      <c r="B11" s="124"/>
      <c r="C11" s="125">
        <f>Assumption!B14+Assumption!B15-Assumption!B16</f>
        <v>-58.487050410107699</v>
      </c>
      <c r="D11" s="125">
        <f>Assumption!C14+Assumption!C15-Assumption!C16</f>
        <v>-45.939158508115923</v>
      </c>
      <c r="E11" s="125">
        <f>Assumption!D14+Assumption!D15-Assumption!D16</f>
        <v>-62.61978041801656</v>
      </c>
      <c r="F11" s="125">
        <f>Assumption!E14+Assumption!E15-Assumption!E16</f>
        <v>-63.872162914551978</v>
      </c>
      <c r="G11" s="125">
        <f>Assumption!F14+Assumption!F15-Assumption!F16</f>
        <v>-82.276137872373184</v>
      </c>
      <c r="H11" s="125">
        <f>Assumption!G14+Assumption!G15-Assumption!G16</f>
        <v>-83.624937860512034</v>
      </c>
      <c r="I11" s="125">
        <f>Assumption!H14+Assumption!H15-Assumption!H16</f>
        <v>-90.858499128938092</v>
      </c>
      <c r="J11" s="125">
        <f>Assumption!I14+Assumption!I15-Assumption!I16</f>
        <v>-98.092060397364151</v>
      </c>
      <c r="K11" s="125">
        <f>Assumption!J14+Assumption!J15-Assumption!J16</f>
        <v>-105.32562166579024</v>
      </c>
    </row>
    <row r="12" spans="1:11" x14ac:dyDescent="0.2">
      <c r="A12" s="114" t="s">
        <v>166</v>
      </c>
      <c r="B12" s="122">
        <f>('Balance Sheet'!B58+'Balance Sheet'!B47)/'Balance Sheet'!B38</f>
        <v>0.43601635957330187</v>
      </c>
      <c r="C12" s="122">
        <f>('Balance Sheet'!C58+'Balance Sheet'!C47)/'Balance Sheet'!C38</f>
        <v>0.43020918785890072</v>
      </c>
      <c r="D12" s="122">
        <f>('Balance Sheet'!D58+'Balance Sheet'!D47)/'Balance Sheet'!D38</f>
        <v>0.43017861054140699</v>
      </c>
      <c r="E12" s="122">
        <f>('Balance Sheet'!E58+'Balance Sheet'!E47)/'Balance Sheet'!E38</f>
        <v>0.51209463833794366</v>
      </c>
      <c r="F12" s="122">
        <f>('Balance Sheet'!F58+'Balance Sheet'!F47)/'Balance Sheet'!F38</f>
        <v>0.59324964905499156</v>
      </c>
      <c r="G12" s="122">
        <f>('Balance Sheet'!G58+'Balance Sheet'!G47)/'Balance Sheet'!G38</f>
        <v>0.58425939093513191</v>
      </c>
      <c r="H12" s="122">
        <f>('Balance Sheet'!H58+'Balance Sheet'!H47)/'Balance Sheet'!H38</f>
        <v>0.58584272193168474</v>
      </c>
      <c r="I12" s="122">
        <f>('Balance Sheet'!I58+'Balance Sheet'!I47)/'Balance Sheet'!I38</f>
        <v>0.60080746535608298</v>
      </c>
      <c r="J12" s="122">
        <f>('Balance Sheet'!J58+'Balance Sheet'!J47)/'Balance Sheet'!J38</f>
        <v>0.6167955677956708</v>
      </c>
      <c r="K12" s="122">
        <f>('Balance Sheet'!K58+'Balance Sheet'!K47)/'Balance Sheet'!K38</f>
        <v>0.63382022721907361</v>
      </c>
    </row>
    <row r="13" spans="1:11" x14ac:dyDescent="0.2">
      <c r="A13" s="114" t="s">
        <v>167</v>
      </c>
      <c r="B13" s="123">
        <f>'FY 26-27E Projected'!C20/'FY 26-27E Projected'!C15</f>
        <v>99.231481481481481</v>
      </c>
      <c r="C13" s="123">
        <f>'FY 26-27E Projected'!D20/'FY 26-27E Projected'!D15</f>
        <v>120.13265306122449</v>
      </c>
      <c r="D13" s="123">
        <f>'FY 26-27E Projected'!E20/'FY 26-27E Projected'!E15</f>
        <v>130.1089108910891</v>
      </c>
      <c r="E13" s="123">
        <f>'FY 26-27E Projected'!F20/'FY 26-27E Projected'!F15</f>
        <v>45.576158940397349</v>
      </c>
      <c r="F13" s="123">
        <f>'FY 26-27E Projected'!G20/'FY 26-27E Projected'!G15</f>
        <v>39.568571428571431</v>
      </c>
      <c r="G13" s="123">
        <f>'FY 26-27E Projected'!H20/'FY 26-27E Projected'!H15</f>
        <v>38.22038567493113</v>
      </c>
      <c r="H13" s="123">
        <f>('FY 26-27E Projected'!I22+'FY 26-27E Projected'!I15)/'FY 26-27E Projected'!I15</f>
        <v>41.874117676612173</v>
      </c>
      <c r="I13" s="123">
        <f>('FY 26-27E Projected'!J22+'FY 26-27E Projected'!J15)/'FY 26-27E Projected'!J15</f>
        <v>44.120539239531773</v>
      </c>
      <c r="J13" s="123">
        <f>('FY 26-27E Projected'!K22+'FY 26-27E Projected'!K15)/'FY 26-27E Projected'!K15</f>
        <v>46.49647294393484</v>
      </c>
      <c r="K13" s="123">
        <f>('FY 26-27E Projected'!L22+'FY 26-27E Projected'!L15)/'FY 26-27E Projected'!L15</f>
        <v>49.00935342628425</v>
      </c>
    </row>
    <row r="14" spans="1:11" x14ac:dyDescent="0.2">
      <c r="A14" s="114" t="s">
        <v>193</v>
      </c>
      <c r="B14" s="120">
        <f>'FY 26-27E Projected'!C25/'FY 26-27E Projected'!C6</f>
        <v>0.25500043482041918</v>
      </c>
      <c r="C14" s="120">
        <f>'FY 26-27E Projected'!D25/'FY 26-27E Projected'!D6</f>
        <v>0.24999511651983669</v>
      </c>
      <c r="D14" s="120">
        <f>'FY 26-27E Projected'!E25/'FY 26-27E Projected'!E6</f>
        <v>0.23960165020965779</v>
      </c>
      <c r="E14" s="120">
        <f>'FY 26-27E Projected'!F25/'FY 26-27E Projected'!F6</f>
        <v>0.24576229142205097</v>
      </c>
      <c r="F14" s="120">
        <f>'FY 26-27E Projected'!G25/'FY 26-27E Projected'!G6</f>
        <v>0.2508713720758764</v>
      </c>
      <c r="G14" s="120">
        <f>'FY 26-27E Projected'!H25/'FY 26-27E Projected'!H6</f>
        <v>0.24300121016538928</v>
      </c>
      <c r="H14" s="120">
        <f>'FY 26-27E Projected'!I25/'FY 26-27E Projected'!I6</f>
        <v>0.2450017798213559</v>
      </c>
      <c r="I14" s="120">
        <f>'FY 26-27E Projected'!J25/'FY 26-27E Projected'!J6</f>
        <v>0.24444966130063864</v>
      </c>
      <c r="J14" s="120">
        <f>'FY 26-27E Projected'!K25/'FY 26-27E Projected'!K6</f>
        <v>0.24393122253894706</v>
      </c>
      <c r="K14" s="120">
        <f>'FY 26-27E Projected'!L25/'FY 26-27E Projected'!L6</f>
        <v>0.24344441034348471</v>
      </c>
    </row>
    <row r="15" spans="1:11" x14ac:dyDescent="0.2">
      <c r="A15" s="114" t="s">
        <v>216</v>
      </c>
      <c r="B15" s="120">
        <f>'FY 26-27E Projected'!C24/'Balance Sheet'!B33</f>
        <v>0.11677138998179576</v>
      </c>
      <c r="C15" s="120">
        <f>'FY 26-27E Projected'!D24/'Balance Sheet'!C33</f>
        <v>0.12644650615885397</v>
      </c>
      <c r="D15" s="120">
        <f>'FY 26-27E Projected'!E24/'Balance Sheet'!D33</f>
        <v>0.13869822485207101</v>
      </c>
      <c r="E15" s="120">
        <f>'FY 26-27E Projected'!F24/'Balance Sheet'!E33</f>
        <v>0.13122113238881106</v>
      </c>
      <c r="F15" s="120">
        <f>'FY 26-27E Projected'!G24/'Balance Sheet'!F33</f>
        <v>0.13603105486956188</v>
      </c>
      <c r="G15" s="120">
        <f>'FY 26-27E Projected'!H24/'Balance Sheet'!G33</f>
        <v>0.14131466235798004</v>
      </c>
      <c r="H15" s="120">
        <f>'FY 26-27E Projected'!I24/'Balance Sheet'!H33</f>
        <v>0.1400669956154674</v>
      </c>
      <c r="I15" s="120">
        <f>'FY 26-27E Projected'!J24/'Balance Sheet'!I33</f>
        <v>0.14298862149374186</v>
      </c>
      <c r="J15" s="120">
        <f>'FY 26-27E Projected'!K24/'Balance Sheet'!J33</f>
        <v>0.14579432375491849</v>
      </c>
      <c r="K15" s="120">
        <f>'FY 26-27E Projected'!L24/'Balance Sheet'!K33</f>
        <v>0.14847444791458403</v>
      </c>
    </row>
  </sheetData>
  <mergeCells count="1">
    <mergeCell ref="A1:K1"/>
  </mergeCells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5B40F-13B8-40CD-9B34-B5491B45FD03}">
  <dimension ref="A1:M24"/>
  <sheetViews>
    <sheetView workbookViewId="0">
      <selection activeCell="R19" sqref="R19"/>
    </sheetView>
  </sheetViews>
  <sheetFormatPr defaultRowHeight="15" x14ac:dyDescent="0.25"/>
  <cols>
    <col min="1" max="1" width="12.140625" customWidth="1"/>
    <col min="4" max="4" width="11.140625" customWidth="1"/>
    <col min="8" max="8" width="11.5703125" bestFit="1" customWidth="1"/>
    <col min="9" max="9" width="12.28515625" bestFit="1" customWidth="1"/>
    <col min="10" max="10" width="10.42578125" bestFit="1" customWidth="1"/>
    <col min="12" max="12" width="18.140625" customWidth="1"/>
    <col min="13" max="13" width="8.140625" bestFit="1" customWidth="1"/>
  </cols>
  <sheetData>
    <row r="1" spans="1:13" ht="45" x14ac:dyDescent="0.25">
      <c r="A1" s="5" t="s">
        <v>180</v>
      </c>
      <c r="B1" s="8" t="s">
        <v>161</v>
      </c>
      <c r="C1" s="8" t="s">
        <v>193</v>
      </c>
      <c r="D1" s="8" t="s">
        <v>160</v>
      </c>
      <c r="G1" s="5" t="s">
        <v>180</v>
      </c>
      <c r="H1" s="8" t="s">
        <v>204</v>
      </c>
      <c r="I1" s="8" t="s">
        <v>205</v>
      </c>
      <c r="J1" s="8" t="s">
        <v>206</v>
      </c>
      <c r="L1" s="5" t="s">
        <v>208</v>
      </c>
      <c r="M1" s="8" t="s">
        <v>209</v>
      </c>
    </row>
    <row r="2" spans="1:13" ht="30" x14ac:dyDescent="0.25">
      <c r="A2" s="6" t="s">
        <v>194</v>
      </c>
      <c r="B2" s="9">
        <f>Ratios!B6</f>
        <v>0.52871988868597264</v>
      </c>
      <c r="C2" s="10">
        <f>Ratios!B14</f>
        <v>0.25500043482041918</v>
      </c>
      <c r="D2" s="9">
        <f>Ratios!B5</f>
        <v>0.1729280807026698</v>
      </c>
      <c r="G2" s="6" t="s">
        <v>181</v>
      </c>
      <c r="H2" s="11">
        <f>'Cash Flow Statement'!B37</f>
        <v>8957</v>
      </c>
      <c r="I2" s="12">
        <f>'Cash Flow Statement'!B64</f>
        <v>-1367</v>
      </c>
      <c r="J2" s="12">
        <f>'Cash Flow Statement'!B71</f>
        <v>-9280</v>
      </c>
      <c r="L2" s="6" t="s">
        <v>210</v>
      </c>
      <c r="M2" s="13">
        <f>'Balance Sheet'!G25</f>
        <v>2286</v>
      </c>
    </row>
    <row r="3" spans="1:13" x14ac:dyDescent="0.25">
      <c r="A3" s="6" t="s">
        <v>195</v>
      </c>
      <c r="B3" s="9">
        <f>Ratios!C6</f>
        <v>0.50922977750864373</v>
      </c>
      <c r="C3" s="10">
        <f>Ratios!C14</f>
        <v>0.24999511651983669</v>
      </c>
      <c r="D3" s="9">
        <f>Ratios!C5</f>
        <v>0.17225011232004375</v>
      </c>
      <c r="G3" s="6" t="s">
        <v>182</v>
      </c>
      <c r="H3" s="11">
        <f>'Cash Flow Statement'!C$37</f>
        <v>8964</v>
      </c>
      <c r="I3" s="12">
        <f>'Cash Flow Statement'!C64</f>
        <v>-1732</v>
      </c>
      <c r="J3" s="12">
        <f>'Cash Flow Statement'!C71</f>
        <v>-7984</v>
      </c>
      <c r="L3" s="6" t="s">
        <v>43</v>
      </c>
      <c r="M3" s="13">
        <f>'Balance Sheet'!G24</f>
        <v>3037</v>
      </c>
    </row>
    <row r="4" spans="1:13" x14ac:dyDescent="0.25">
      <c r="A4" s="6" t="s">
        <v>196</v>
      </c>
      <c r="B4" s="9">
        <f>Ratios!D6</f>
        <v>0.47342080346273502</v>
      </c>
      <c r="C4" s="10">
        <f>Ratios!D14</f>
        <v>0.23960165020965779</v>
      </c>
      <c r="D4" s="9">
        <f>Ratios!D5</f>
        <v>0.16843635871770593</v>
      </c>
      <c r="G4" s="6" t="s">
        <v>183</v>
      </c>
      <c r="H4" s="11">
        <f>'Cash Flow Statement'!D37</f>
        <v>9626</v>
      </c>
      <c r="I4" s="12">
        <f>'Cash Flow Statement'!D64</f>
        <v>-1062</v>
      </c>
      <c r="J4" s="12">
        <f>'Cash Flow Statement'!D71</f>
        <v>-8966</v>
      </c>
      <c r="L4" s="6" t="s">
        <v>41</v>
      </c>
      <c r="M4" s="13">
        <f>'Balance Sheet'!G21</f>
        <v>4383</v>
      </c>
    </row>
    <row r="5" spans="1:13" ht="30" x14ac:dyDescent="0.25">
      <c r="A5" s="6" t="s">
        <v>197</v>
      </c>
      <c r="B5" s="9">
        <f>Ratios!E6</f>
        <v>0.51500768989068779</v>
      </c>
      <c r="C5" s="10">
        <f>Ratios!E14</f>
        <v>0.24576229142205097</v>
      </c>
      <c r="D5" s="9">
        <f>Ratios!E5</f>
        <v>0.16725925680927417</v>
      </c>
      <c r="G5" s="6" t="s">
        <v>184</v>
      </c>
      <c r="H5" s="11">
        <f>'Cash Flow Statement'!E37</f>
        <v>14884</v>
      </c>
      <c r="I5" s="12">
        <f>'Cash Flow Statement'!E64</f>
        <v>-4971</v>
      </c>
      <c r="J5" s="12">
        <f>'Cash Flow Statement'!E71</f>
        <v>-9890</v>
      </c>
      <c r="L5" s="6" t="s">
        <v>211</v>
      </c>
      <c r="M5" s="13">
        <f>'Balance Sheet'!G30</f>
        <v>985</v>
      </c>
    </row>
    <row r="6" spans="1:13" ht="30" x14ac:dyDescent="0.25">
      <c r="A6" s="6" t="s">
        <v>198</v>
      </c>
      <c r="B6" s="9">
        <f>Ratios!F6</f>
        <v>0.50787586299349818</v>
      </c>
      <c r="C6" s="10">
        <f>Ratios!F14</f>
        <v>0.2508713720758764</v>
      </c>
      <c r="D6" s="9">
        <f>Ratios!F5</f>
        <v>0.17851397546752462</v>
      </c>
      <c r="G6" s="6" t="s">
        <v>185</v>
      </c>
      <c r="H6" s="11">
        <f>'Cash Flow Statement'!F37</f>
        <v>11606</v>
      </c>
      <c r="I6" s="12">
        <f>'Cash Flow Statement'!F64</f>
        <v>6763</v>
      </c>
      <c r="J6" s="12">
        <f>'Cash Flow Statement'!F71</f>
        <v>-13031</v>
      </c>
      <c r="L6" s="6" t="s">
        <v>212</v>
      </c>
      <c r="M6" s="13">
        <f>'Balance Sheet'!G8</f>
        <v>7191</v>
      </c>
    </row>
    <row r="7" spans="1:13" ht="30" x14ac:dyDescent="0.25">
      <c r="A7" s="6" t="s">
        <v>199</v>
      </c>
      <c r="B7" s="9">
        <f>Ratios!G6</f>
        <v>0.49844292053247274</v>
      </c>
      <c r="C7" s="10">
        <f>Ratios!G14</f>
        <v>0.24300121016538928</v>
      </c>
      <c r="D7" s="9">
        <f>Ratios!G5</f>
        <v>0.17781363453005244</v>
      </c>
      <c r="G7" s="6" t="s">
        <v>207</v>
      </c>
      <c r="H7" s="11">
        <f>'Cash Flow Statement'!G37</f>
        <v>10496</v>
      </c>
      <c r="I7" s="12">
        <f>'Cash Flow Statement'!G64</f>
        <v>-3473</v>
      </c>
      <c r="J7" s="12">
        <f>'Cash Flow Statement'!G71</f>
        <v>-10684</v>
      </c>
      <c r="L7" s="6" t="s">
        <v>213</v>
      </c>
      <c r="M7" s="13">
        <f>'Balance Sheet'!G18</f>
        <v>340</v>
      </c>
    </row>
    <row r="8" spans="1:13" x14ac:dyDescent="0.25">
      <c r="A8" s="6" t="s">
        <v>200</v>
      </c>
      <c r="B8" s="9">
        <f>Ratios!H6</f>
        <v>0.50079541087760748</v>
      </c>
      <c r="C8" s="10">
        <f>Ratios!H14</f>
        <v>0.2450017798213559</v>
      </c>
      <c r="D8" s="9">
        <f>Ratios!H5</f>
        <v>0.17020319704981521</v>
      </c>
      <c r="G8" s="6" t="s">
        <v>186</v>
      </c>
      <c r="H8" s="11">
        <f>'Cash Flow Statement'!H37</f>
        <v>13012.447932648753</v>
      </c>
      <c r="I8" s="12">
        <f>'Cash Flow Statement'!H64</f>
        <v>-1247.1495286239665</v>
      </c>
      <c r="J8" s="12">
        <f>'Cash Flow Statement'!H71</f>
        <v>-9947.3849104295805</v>
      </c>
    </row>
    <row r="9" spans="1:13" x14ac:dyDescent="0.25">
      <c r="A9" s="6" t="s">
        <v>201</v>
      </c>
      <c r="B9" s="9">
        <f>Ratios!I6</f>
        <v>0.50079541087760748</v>
      </c>
      <c r="C9" s="10">
        <f>Ratios!I14</f>
        <v>0.24444966130063864</v>
      </c>
      <c r="D9" s="9">
        <f>Ratios!I5</f>
        <v>0.16934556908170592</v>
      </c>
      <c r="G9" s="6" t="s">
        <v>187</v>
      </c>
      <c r="H9" s="11">
        <f>'Cash Flow Statement'!I37</f>
        <v>14365.711211624041</v>
      </c>
      <c r="I9" s="12">
        <f>'Cash Flow Statement'!I64</f>
        <v>-1325.9982578646179</v>
      </c>
      <c r="J9" s="12">
        <f>'Cash Flow Statement'!I71</f>
        <v>-10522.997665511319</v>
      </c>
    </row>
    <row r="10" spans="1:13" x14ac:dyDescent="0.25">
      <c r="A10" s="6" t="s">
        <v>202</v>
      </c>
      <c r="B10" s="9">
        <f>Ratios!J6</f>
        <v>0.50079541087760748</v>
      </c>
      <c r="C10" s="10">
        <f>Ratios!J14</f>
        <v>0.24393122253894706</v>
      </c>
      <c r="D10" s="9">
        <f>Ratios!J5</f>
        <v>0.16851339901704551</v>
      </c>
      <c r="G10" s="6" t="s">
        <v>188</v>
      </c>
      <c r="H10" s="11">
        <f>'Cash Flow Statement'!J37</f>
        <v>15299.179057513744</v>
      </c>
      <c r="I10" s="12">
        <f>'Cash Flow Statement'!J64</f>
        <v>-1409.8320526168004</v>
      </c>
      <c r="J10" s="12">
        <f>'Cash Flow Statement'!J71</f>
        <v>-11133.315115903089</v>
      </c>
    </row>
    <row r="11" spans="1:13" x14ac:dyDescent="0.25">
      <c r="A11" s="6" t="s">
        <v>203</v>
      </c>
      <c r="B11" s="9">
        <f>Ratios!K6</f>
        <v>0.50079541087760748</v>
      </c>
      <c r="C11" s="10">
        <f>Ratios!K14</f>
        <v>0.24344441034348471</v>
      </c>
      <c r="D11" s="9">
        <f>Ratios!K5</f>
        <v>0.16770513488558578</v>
      </c>
      <c r="G11" s="6" t="s">
        <v>189</v>
      </c>
      <c r="H11" s="11">
        <f>'Cash Flow Statement'!K37</f>
        <v>16295.151618787735</v>
      </c>
      <c r="I11" s="12">
        <f>'Cash Flow Statement'!K64</f>
        <v>-1498.9660844551679</v>
      </c>
      <c r="J11" s="12">
        <f>'Cash Flow Statement'!K71</f>
        <v>-11780.42204194091</v>
      </c>
    </row>
    <row r="14" spans="1:13" ht="30" x14ac:dyDescent="0.25">
      <c r="A14" s="5" t="s">
        <v>214</v>
      </c>
      <c r="B14" s="5" t="s">
        <v>215</v>
      </c>
      <c r="D14" s="5" t="s">
        <v>180</v>
      </c>
      <c r="E14" s="8" t="s">
        <v>222</v>
      </c>
      <c r="F14" s="8" t="s">
        <v>223</v>
      </c>
      <c r="H14" s="5" t="s">
        <v>224</v>
      </c>
      <c r="I14" s="8" t="s">
        <v>199</v>
      </c>
    </row>
    <row r="15" spans="1:13" ht="30" x14ac:dyDescent="0.25">
      <c r="A15" s="6" t="s">
        <v>164</v>
      </c>
      <c r="B15" s="14">
        <f>Ratios!G9</f>
        <v>1.1729881597431266</v>
      </c>
      <c r="D15" s="6" t="s">
        <v>194</v>
      </c>
      <c r="E15" s="16">
        <f>'FY 26-27E Projected'!C6</f>
        <v>45996</v>
      </c>
      <c r="F15" s="7"/>
      <c r="H15" s="6" t="s">
        <v>225</v>
      </c>
      <c r="I15" s="13">
        <f>'Balance Sheet'!G58</f>
        <v>14949</v>
      </c>
    </row>
    <row r="16" spans="1:13" ht="45" x14ac:dyDescent="0.25">
      <c r="A16" s="6" t="s">
        <v>165</v>
      </c>
      <c r="B16" s="14">
        <f>Ratios!G10</f>
        <v>0.87979129038731685</v>
      </c>
      <c r="D16" s="6" t="s">
        <v>195</v>
      </c>
      <c r="E16" s="16">
        <f>'FY 26-27E Projected'!D6</f>
        <v>51193</v>
      </c>
      <c r="F16" s="7"/>
      <c r="H16" s="6" t="s">
        <v>226</v>
      </c>
      <c r="I16" s="13">
        <f>'Balance Sheet'!G47</f>
        <v>13810</v>
      </c>
    </row>
    <row r="17" spans="1:9" ht="30" x14ac:dyDescent="0.25">
      <c r="A17" s="6" t="s">
        <v>166</v>
      </c>
      <c r="B17" s="15">
        <f>Ratios!G12</f>
        <v>0.58425939093513191</v>
      </c>
      <c r="D17" s="6" t="s">
        <v>196</v>
      </c>
      <c r="E17" s="16">
        <f>'FY 26-27E Projected'!E6</f>
        <v>59144</v>
      </c>
      <c r="F17" s="7"/>
      <c r="H17" s="6" t="s">
        <v>227</v>
      </c>
      <c r="I17" s="13">
        <f>'Balance Sheet'!G36</f>
        <v>235</v>
      </c>
    </row>
    <row r="18" spans="1:9" ht="45" x14ac:dyDescent="0.25">
      <c r="A18" s="6" t="s">
        <v>163</v>
      </c>
      <c r="B18" s="14">
        <f>Ratios!G8</f>
        <v>0.22387908091745728</v>
      </c>
      <c r="D18" s="6" t="s">
        <v>197</v>
      </c>
      <c r="E18" s="16">
        <f>'FY 26-27E Projected'!F6</f>
        <v>60469</v>
      </c>
      <c r="F18" s="7"/>
      <c r="H18" s="6" t="s">
        <v>228</v>
      </c>
      <c r="I18" s="13">
        <f>'Balance Sheet'!G37</f>
        <v>48988</v>
      </c>
    </row>
    <row r="19" spans="1:9" x14ac:dyDescent="0.25">
      <c r="A19" s="6" t="s">
        <v>216</v>
      </c>
      <c r="B19" s="14">
        <f>Ratios!G15</f>
        <v>0.14131466235798004</v>
      </c>
      <c r="D19" s="6" t="s">
        <v>198</v>
      </c>
      <c r="E19" s="16">
        <f>'FY 26-27E Projected'!G6</f>
        <v>59676</v>
      </c>
      <c r="F19" s="7"/>
    </row>
    <row r="20" spans="1:9" ht="30" x14ac:dyDescent="0.25">
      <c r="A20" s="6" t="s">
        <v>191</v>
      </c>
      <c r="B20" s="14">
        <f>Ratios!G6</f>
        <v>0.49844292053247274</v>
      </c>
      <c r="D20" s="6" t="s">
        <v>199</v>
      </c>
      <c r="E20" s="16">
        <f>'FY 26-27E Projected'!H6</f>
        <v>61975</v>
      </c>
      <c r="F20" s="7"/>
    </row>
    <row r="21" spans="1:9" ht="30" x14ac:dyDescent="0.25">
      <c r="A21" s="6" t="s">
        <v>192</v>
      </c>
      <c r="B21" s="14">
        <f>C7</f>
        <v>0.24300121016538928</v>
      </c>
      <c r="D21" s="6" t="s">
        <v>200</v>
      </c>
      <c r="E21" s="7"/>
      <c r="F21" s="16">
        <f>'FY 26-27E Projected'!I6</f>
        <v>65893.255094945198</v>
      </c>
    </row>
    <row r="22" spans="1:9" ht="30" x14ac:dyDescent="0.25">
      <c r="A22" s="6" t="s">
        <v>217</v>
      </c>
      <c r="B22" s="14">
        <f>D7</f>
        <v>0.17781363453005244</v>
      </c>
      <c r="D22" s="6" t="s">
        <v>201</v>
      </c>
      <c r="E22" s="7"/>
      <c r="F22" s="16">
        <f>'FY 26-27E Projected'!J6</f>
        <v>70059.234643122574</v>
      </c>
    </row>
    <row r="23" spans="1:9" x14ac:dyDescent="0.25">
      <c r="D23" s="6" t="s">
        <v>202</v>
      </c>
      <c r="E23" s="7"/>
      <c r="F23" s="16">
        <f>'FY 26-27E Projected'!K6</f>
        <v>74488.600566291221</v>
      </c>
    </row>
    <row r="24" spans="1:9" x14ac:dyDescent="0.25">
      <c r="D24" s="6" t="s">
        <v>203</v>
      </c>
      <c r="E24" s="7"/>
      <c r="F24" s="16">
        <f>'FY 26-27E Projected'!L6</f>
        <v>79198.00498233331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Income Statement</vt:lpstr>
      <vt:lpstr>Balance Sheet</vt:lpstr>
      <vt:lpstr>Cash Flow Statement</vt:lpstr>
      <vt:lpstr>Assumption</vt:lpstr>
      <vt:lpstr>FY 26-27E Projected</vt:lpstr>
      <vt:lpstr>Ratios</vt:lpstr>
      <vt:lpstr>DAS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Vikas Singh</dc:creator>
  <dc:description/>
  <cp:lastModifiedBy>Vikas Singh</cp:lastModifiedBy>
  <cp:revision>0</cp:revision>
  <dcterms:created xsi:type="dcterms:W3CDTF">2026-07-27T03:28:28Z</dcterms:created>
  <dcterms:modified xsi:type="dcterms:W3CDTF">2026-08-17T16:50:53Z</dcterms:modified>
  <dc:language>en-US</dc:language>
</cp:coreProperties>
</file>